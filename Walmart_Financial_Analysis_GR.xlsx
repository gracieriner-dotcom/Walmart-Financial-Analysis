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graci\Downloads\"/>
    </mc:Choice>
  </mc:AlternateContent>
  <xr:revisionPtr revIDLastSave="0" documentId="13_ncr:1_{A3418F06-D919-46E8-915F-57B1EF63C3E6}" xr6:coauthVersionLast="47" xr6:coauthVersionMax="47" xr10:uidLastSave="{00000000-0000-0000-0000-000000000000}"/>
  <bookViews>
    <workbookView xWindow="-110" yWindow="-110" windowWidth="19420" windowHeight="10300" xr2:uid="{42C2147C-91E9-4801-B083-55CF85EACFAC}"/>
  </bookViews>
  <sheets>
    <sheet name="Cover" sheetId="5" r:id="rId1"/>
    <sheet name="Raw Data" sheetId="1" r:id="rId2"/>
    <sheet name="Ratios &amp; Calculations" sheetId="2" r:id="rId3"/>
    <sheet name="Sensitivity Analysis" sheetId="14" r:id="rId4"/>
    <sheet name="YoY Growth" sheetId="6" r:id="rId5"/>
    <sheet name="Peer Comparisons" sheetId="7" r:id="rId6"/>
    <sheet name="Insight" sheetId="8" r:id="rId7"/>
    <sheet name="Dashboard" sheetId="9" r:id="rId8"/>
  </sheets>
  <externalReferences>
    <externalReference r:id="rId9"/>
  </externalReferences>
  <definedNames>
    <definedName name="_xlnm.Print_Area" localSheetId="0">Cover!$L$14</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7" i="9" l="1"/>
  <c r="K7" i="9"/>
  <c r="J7" i="9"/>
  <c r="I7" i="9"/>
  <c r="C27" i="2"/>
  <c r="D27" i="2"/>
  <c r="E27" i="2"/>
  <c r="F27" i="2"/>
  <c r="G27" i="2"/>
  <c r="H27" i="2"/>
  <c r="C51" i="2" s="1"/>
  <c r="H8" i="14"/>
  <c r="I8" i="14"/>
  <c r="G21" i="14"/>
  <c r="H11" i="14" s="1"/>
  <c r="G23" i="14"/>
  <c r="G11" i="14" s="1"/>
  <c r="C62" i="2"/>
  <c r="C65" i="2"/>
  <c r="C40" i="2"/>
  <c r="C42" i="2" s="1"/>
  <c r="C37" i="2"/>
  <c r="C36" i="2"/>
  <c r="C35" i="2"/>
  <c r="C10" i="2"/>
  <c r="F13" i="2"/>
  <c r="C14" i="2"/>
  <c r="D10" i="1"/>
  <c r="D9" i="2" s="1"/>
  <c r="E10" i="1"/>
  <c r="E9" i="2" s="1"/>
  <c r="F10" i="1"/>
  <c r="F9" i="2" s="1"/>
  <c r="G10" i="1"/>
  <c r="G9" i="2" s="1"/>
  <c r="H10" i="1"/>
  <c r="H9" i="2" s="1"/>
  <c r="C10" i="1"/>
  <c r="C9" i="2" s="1"/>
  <c r="C7" i="9"/>
  <c r="B7" i="9"/>
  <c r="D12" i="7"/>
  <c r="E12" i="7"/>
  <c r="D14" i="7"/>
  <c r="E14" i="7"/>
  <c r="D16" i="7"/>
  <c r="E16" i="7"/>
  <c r="C16" i="7"/>
  <c r="D18" i="7"/>
  <c r="E18" i="7"/>
  <c r="C18" i="7"/>
  <c r="C14" i="7"/>
  <c r="D13" i="7"/>
  <c r="E13" i="7"/>
  <c r="C13" i="7"/>
  <c r="C12" i="7"/>
  <c r="H10" i="6"/>
  <c r="H9" i="6"/>
  <c r="H8" i="6"/>
  <c r="G7" i="9" s="1"/>
  <c r="D10" i="6"/>
  <c r="E10" i="6"/>
  <c r="F10" i="6"/>
  <c r="G10" i="6"/>
  <c r="C10" i="6"/>
  <c r="D9" i="6"/>
  <c r="E9" i="6"/>
  <c r="F9" i="6"/>
  <c r="G9" i="6"/>
  <c r="C9" i="6"/>
  <c r="D8" i="6"/>
  <c r="E8" i="6"/>
  <c r="F8" i="6"/>
  <c r="G8" i="6"/>
  <c r="C8" i="6"/>
  <c r="D14" i="2"/>
  <c r="E14" i="2"/>
  <c r="F14" i="2"/>
  <c r="G14" i="2"/>
  <c r="H14" i="2"/>
  <c r="F7" i="9" s="1"/>
  <c r="D13" i="2"/>
  <c r="E13" i="2"/>
  <c r="G13" i="2"/>
  <c r="H13" i="2"/>
  <c r="C13" i="2"/>
  <c r="D12" i="2"/>
  <c r="E12" i="2"/>
  <c r="F12" i="2"/>
  <c r="G12" i="2"/>
  <c r="H12" i="2"/>
  <c r="C12" i="2"/>
  <c r="D11" i="2"/>
  <c r="E11" i="2"/>
  <c r="F11" i="2"/>
  <c r="G11" i="2"/>
  <c r="H11" i="2"/>
  <c r="E7" i="9" s="1"/>
  <c r="C11" i="2"/>
  <c r="D10" i="2"/>
  <c r="E10" i="2"/>
  <c r="F10" i="2"/>
  <c r="G10" i="2"/>
  <c r="H10" i="2"/>
  <c r="D7" i="9" s="1"/>
  <c r="G8" i="14" l="1"/>
  <c r="F8" i="14"/>
  <c r="D15" i="14"/>
  <c r="E10" i="14"/>
  <c r="E9" i="14"/>
  <c r="J15" i="14"/>
  <c r="F13" i="14"/>
  <c r="J12" i="14"/>
  <c r="I12" i="14"/>
  <c r="I15" i="14"/>
  <c r="G9" i="14"/>
  <c r="H15" i="14"/>
  <c r="F11" i="14"/>
  <c r="D14" i="14"/>
  <c r="G15" i="14"/>
  <c r="J10" i="14"/>
  <c r="D13" i="14"/>
  <c r="F15" i="14"/>
  <c r="I10" i="14"/>
  <c r="D12" i="14"/>
  <c r="J13" i="14"/>
  <c r="H10" i="14"/>
  <c r="D11" i="14"/>
  <c r="I13" i="14"/>
  <c r="G10" i="14"/>
  <c r="D10" i="14"/>
  <c r="H13" i="14"/>
  <c r="F9" i="14"/>
  <c r="D9" i="14"/>
  <c r="G13" i="14"/>
  <c r="J8" i="14"/>
  <c r="E15" i="14"/>
  <c r="J14" i="14"/>
  <c r="H12" i="14"/>
  <c r="F10" i="14"/>
  <c r="E14" i="14"/>
  <c r="I14" i="14"/>
  <c r="G12" i="14"/>
  <c r="J9" i="14"/>
  <c r="F12" i="14"/>
  <c r="H9" i="14"/>
  <c r="E13" i="14"/>
  <c r="H14" i="14"/>
  <c r="I9" i="14"/>
  <c r="D8" i="14"/>
  <c r="E12" i="14"/>
  <c r="G14" i="14"/>
  <c r="J11" i="14"/>
  <c r="E8" i="14"/>
  <c r="E11" i="14"/>
  <c r="F14" i="14"/>
  <c r="I11" i="14"/>
  <c r="C44" i="2"/>
  <c r="D51" i="2"/>
  <c r="C41" i="2"/>
  <c r="C43" i="2" s="1"/>
  <c r="G11" i="6"/>
  <c r="F11" i="6"/>
  <c r="E11" i="6"/>
  <c r="D11" i="6"/>
  <c r="C11" i="6"/>
  <c r="H11" i="6"/>
  <c r="G52" i="2" l="1"/>
  <c r="F52" i="2"/>
  <c r="E52" i="2"/>
  <c r="C52" i="2"/>
  <c r="C53" i="2" s="1"/>
  <c r="D52" i="2"/>
  <c r="E51" i="2"/>
  <c r="D53" i="2"/>
  <c r="F51" i="2" l="1"/>
  <c r="E53" i="2"/>
  <c r="G51" i="2" l="1"/>
  <c r="F53" i="2"/>
  <c r="C59" i="2" l="1"/>
  <c r="C60" i="2" s="1"/>
  <c r="G53" i="2"/>
  <c r="H53" i="2" s="1"/>
  <c r="C61" i="2" l="1"/>
  <c r="C63" i="2" s="1"/>
  <c r="G22" i="14" l="1"/>
  <c r="C64" i="2"/>
  <c r="C66" i="2" s="1"/>
</calcChain>
</file>

<file path=xl/sharedStrings.xml><?xml version="1.0" encoding="utf-8"?>
<sst xmlns="http://schemas.openxmlformats.org/spreadsheetml/2006/main" count="178" uniqueCount="144">
  <si>
    <t>Revenue</t>
  </si>
  <si>
    <t>Operating Income</t>
  </si>
  <si>
    <t>Net Income</t>
  </si>
  <si>
    <t>Operating Margin</t>
  </si>
  <si>
    <t>Net Margin</t>
  </si>
  <si>
    <t>Walmart</t>
  </si>
  <si>
    <t>WALMART INC.</t>
  </si>
  <si>
    <t>Financial Analysis | 2020-2025</t>
  </si>
  <si>
    <t>Financials sourced from 10-K filings</t>
  </si>
  <si>
    <t>Year-over-year and CAGR growth analysis</t>
  </si>
  <si>
    <t>Peer benchmarking</t>
  </si>
  <si>
    <t>Key findings, trends, and commentary</t>
  </si>
  <si>
    <t>Visual summary of financial performance</t>
  </si>
  <si>
    <r>
      <rPr>
        <b/>
        <sz val="11"/>
        <color theme="0" tint="-0.499984740745262"/>
        <rFont val="Aptos Narrow"/>
        <family val="2"/>
        <scheme val="minor"/>
      </rPr>
      <t>Prepared by</t>
    </r>
    <r>
      <rPr>
        <sz val="11"/>
        <color theme="0" tint="-0.499984740745262"/>
        <rFont val="Aptos Narrow"/>
        <family val="2"/>
        <scheme val="minor"/>
      </rPr>
      <t>: Gracie Riner</t>
    </r>
  </si>
  <si>
    <r>
      <rPr>
        <b/>
        <sz val="11"/>
        <color theme="0" tint="-0.499984740745262"/>
        <rFont val="Aptos Narrow"/>
        <family val="2"/>
        <scheme val="minor"/>
      </rPr>
      <t>Date</t>
    </r>
    <r>
      <rPr>
        <sz val="11"/>
        <color theme="0" tint="-0.499984740745262"/>
        <rFont val="Aptos Narrow"/>
        <family val="2"/>
        <scheme val="minor"/>
      </rPr>
      <t>: June 2026</t>
    </r>
  </si>
  <si>
    <r>
      <rPr>
        <b/>
        <sz val="11"/>
        <color theme="0" tint="-0.499984740745262"/>
        <rFont val="Aptos Narrow"/>
        <family val="2"/>
        <scheme val="minor"/>
      </rPr>
      <t>Data Source</t>
    </r>
    <r>
      <rPr>
        <sz val="11"/>
        <color theme="0" tint="-0.499984740745262"/>
        <rFont val="Aptos Narrow"/>
        <family val="2"/>
        <scheme val="minor"/>
      </rPr>
      <t>: Walmart 10-K Filings</t>
    </r>
  </si>
  <si>
    <r>
      <rPr>
        <b/>
        <sz val="11"/>
        <color theme="0" tint="-0.499984740745262"/>
        <rFont val="Aptos Narrow"/>
        <family val="2"/>
        <scheme val="minor"/>
      </rPr>
      <t>Analysis Period</t>
    </r>
    <r>
      <rPr>
        <sz val="11"/>
        <color theme="0" tint="-0.499984740745262"/>
        <rFont val="Aptos Narrow"/>
        <family val="2"/>
        <scheme val="minor"/>
      </rPr>
      <t>: Fiscal Years 2020-2025</t>
    </r>
  </si>
  <si>
    <t>Source: Walmart 10-K Filings | All values in USD millions</t>
  </si>
  <si>
    <t>Revenue ($mm)</t>
  </si>
  <si>
    <t xml:space="preserve">Revenue </t>
  </si>
  <si>
    <t>($mm)</t>
  </si>
  <si>
    <t>Gross Profit</t>
  </si>
  <si>
    <t>WALMART INC. |  Profability and Return Ratios</t>
  </si>
  <si>
    <t>All ratios calculated from Raw Data sheet</t>
  </si>
  <si>
    <t>Metric</t>
  </si>
  <si>
    <t>Ratio</t>
  </si>
  <si>
    <t>Gross Margin</t>
  </si>
  <si>
    <t>Return on Assets (ROA)</t>
  </si>
  <si>
    <t>Return on Equity (ROE)</t>
  </si>
  <si>
    <t>2020-21</t>
  </si>
  <si>
    <t>2021-22</t>
  </si>
  <si>
    <t>2022-23</t>
  </si>
  <si>
    <t>2023-24</t>
  </si>
  <si>
    <t>2024-25</t>
  </si>
  <si>
    <t>5-Yr CAGR</t>
  </si>
  <si>
    <t>WALMART INC. |  Year-Over-Year Growth Analysis</t>
  </si>
  <si>
    <t>YoY change = (Current Year - Prior Year) / Prior Year | CAGR = (End/Start)^(1/n)-1</t>
  </si>
  <si>
    <t>Key Observation</t>
  </si>
  <si>
    <t>WALMART INC. |  Historical Financials ($mm)</t>
  </si>
  <si>
    <t>Sources: Walmart 10-K (2025), Target 10-K (2025), Kroger 10-K (2025)</t>
  </si>
  <si>
    <t>Target</t>
  </si>
  <si>
    <t>Kroger</t>
  </si>
  <si>
    <t>Gross Profit ($mm)</t>
  </si>
  <si>
    <t>Operating Income ($mm)</t>
  </si>
  <si>
    <t>Total Assets ($mm)</t>
  </si>
  <si>
    <t>Total Equity ($mm)</t>
  </si>
  <si>
    <t>Net Income ($mm)</t>
  </si>
  <si>
    <t>*Calculations in bold font</t>
  </si>
  <si>
    <t>Comparison Summary</t>
  </si>
  <si>
    <t>PEER COMPARISON |  FY2025 Benchmarking</t>
  </si>
  <si>
    <t>ANALYST INSIGHTS</t>
  </si>
  <si>
    <t>REVENUE GROWTH</t>
  </si>
  <si>
    <t>PROFITABILITY TRENDS</t>
  </si>
  <si>
    <t>MARGIN ANALYSIS</t>
  </si>
  <si>
    <t>BALANCE SHEET STRENGTH</t>
  </si>
  <si>
    <t>PEER POSITIONING</t>
  </si>
  <si>
    <t>INVESTMENT CONSIDERATIONS</t>
  </si>
  <si>
    <t>FY2025</t>
  </si>
  <si>
    <t>Op. Margin</t>
  </si>
  <si>
    <t>ROE</t>
  </si>
  <si>
    <t>5-Yr Rev CAGR</t>
  </si>
  <si>
    <t>Source: Walmart Annual Reports (10-K Filings) | All values in USD millions | Created June 2026</t>
  </si>
  <si>
    <t>Bold</t>
  </si>
  <si>
    <t>=</t>
  </si>
  <si>
    <t>Calculations</t>
  </si>
  <si>
    <t>Blue Tabs</t>
  </si>
  <si>
    <t>Core Financial Analysis</t>
  </si>
  <si>
    <r>
      <rPr>
        <b/>
        <sz val="11"/>
        <color theme="0" tint="-0.499984740745262"/>
        <rFont val="Aptos Narrow"/>
        <family val="2"/>
        <scheme val="minor"/>
      </rPr>
      <t>Project Type</t>
    </r>
    <r>
      <rPr>
        <sz val="11"/>
        <color theme="0" tint="-0.499984740745262"/>
        <rFont val="Aptos Narrow"/>
        <family val="2"/>
        <scheme val="minor"/>
      </rPr>
      <t>:  Financial Analysis &amp; DCF Valuation Model</t>
    </r>
  </si>
  <si>
    <t xml:space="preserve"> Key</t>
  </si>
  <si>
    <t xml:space="preserve"> Contents</t>
  </si>
  <si>
    <t>Operating Cash Flow</t>
  </si>
  <si>
    <t>WALMART INC. |  DCF Calculations</t>
  </si>
  <si>
    <t>All values calculated from Raw Data sheet</t>
  </si>
  <si>
    <t>Free Cash Flow</t>
  </si>
  <si>
    <t>Historical FCF</t>
  </si>
  <si>
    <t>Assumptions</t>
  </si>
  <si>
    <t>WACC</t>
  </si>
  <si>
    <t>FCF Growth Rate</t>
  </si>
  <si>
    <t>Terminal Growth Rate</t>
  </si>
  <si>
    <t>DCF Outputs</t>
  </si>
  <si>
    <t>Risk-Free Rate</t>
  </si>
  <si>
    <t>Value</t>
  </si>
  <si>
    <t>Source</t>
  </si>
  <si>
    <t>US Treasury, June 2026</t>
  </si>
  <si>
    <t>Beta</t>
  </si>
  <si>
    <t>Yahoo Finance, June 2026</t>
  </si>
  <si>
    <t>Equity Risk Premium</t>
  </si>
  <si>
    <t>Damodaran, NYU Stern, 2026</t>
  </si>
  <si>
    <t>Cost of Equity</t>
  </si>
  <si>
    <t>Calculated -- CAPM formula</t>
  </si>
  <si>
    <t>Cost of Debt</t>
  </si>
  <si>
    <t>Interest Expense</t>
  </si>
  <si>
    <t>Cost of Sales</t>
  </si>
  <si>
    <t>Total Assets</t>
  </si>
  <si>
    <t>Total Equity</t>
  </si>
  <si>
    <t>Total Debt</t>
  </si>
  <si>
    <t>CapEx</t>
  </si>
  <si>
    <t>Debt-to-Equity</t>
  </si>
  <si>
    <t xml:space="preserve">Calculated </t>
  </si>
  <si>
    <t>Tax Rate</t>
  </si>
  <si>
    <t>Pre-Tax Income</t>
  </si>
  <si>
    <t>Income Tax Expense</t>
  </si>
  <si>
    <t>Calculated</t>
  </si>
  <si>
    <t>Share Price</t>
  </si>
  <si>
    <t>Shares Outstanding</t>
  </si>
  <si>
    <t>Google Finance, June 2026</t>
  </si>
  <si>
    <t>Walmart 10-K FY2025</t>
  </si>
  <si>
    <t>Market Cap</t>
  </si>
  <si>
    <t>Debt Weight</t>
  </si>
  <si>
    <t>Equity Weight</t>
  </si>
  <si>
    <t>CAGR</t>
  </si>
  <si>
    <t>Calculated -- WACC formula</t>
  </si>
  <si>
    <t>Analyst assumption</t>
  </si>
  <si>
    <t>Green on yellow</t>
  </si>
  <si>
    <t>Analyst Assumption</t>
  </si>
  <si>
    <t>Projected FCF</t>
  </si>
  <si>
    <t>Discount Factor</t>
  </si>
  <si>
    <t>Terminal Value</t>
  </si>
  <si>
    <t>PV of Terminal Value</t>
  </si>
  <si>
    <t>Enterprise Value</t>
  </si>
  <si>
    <t>Cash &amp; Cash Equivalents</t>
  </si>
  <si>
    <t>Net Debt</t>
  </si>
  <si>
    <t>Equity Value</t>
  </si>
  <si>
    <t>Implied Share Price</t>
  </si>
  <si>
    <t>Implied Share Price (FY2025 Base)</t>
  </si>
  <si>
    <t>Current Share Price</t>
  </si>
  <si>
    <t>Upside/Downside</t>
  </si>
  <si>
    <t>WALMART INC. |  Implied Share Price</t>
  </si>
  <si>
    <t>WACC vs FCF Growth Rate</t>
  </si>
  <si>
    <t>Base FCF</t>
  </si>
  <si>
    <t>DCF Valuation Analysis</t>
  </si>
  <si>
    <t>DCF Valuation Summary</t>
  </si>
  <si>
    <t>Current Market Price</t>
  </si>
  <si>
    <t>Raw Data</t>
  </si>
  <si>
    <t>Ratios &amp; Calculations</t>
  </si>
  <si>
    <t>YoY Growth</t>
  </si>
  <si>
    <t>DCF Sensivitity Analysis</t>
  </si>
  <si>
    <t>Peer Comparison</t>
  </si>
  <si>
    <t xml:space="preserve"> Insights</t>
  </si>
  <si>
    <t>Dashboard</t>
  </si>
  <si>
    <t>Probability and return ratios and DCF Calculations</t>
  </si>
  <si>
    <t>WACC vs. FCF Growth Rate</t>
  </si>
  <si>
    <t>PV of FCF</t>
  </si>
  <si>
    <t>DCF Metric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</si>
</sst>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1" formatCode="_(* #,##0_);_(* \(#,##0\);_(* &quot;-&quot;_);_(@_)"/>
    <numFmt numFmtId="43" formatCode="_(* #,##0.00_);_(* \(#,##0.00\);_(* &quot;-&quot;??_);_(@_)"/>
    <numFmt numFmtId="164" formatCode="_(* #,##0_);_(* \(#,##0\);_(* &quot;-&quot;??_);_(@_)"/>
    <numFmt numFmtId="165" formatCode="0.0%"/>
    <numFmt numFmtId="170" formatCode="_(* #,##0.0_);_(* \(#,##0.0\);_(* &quot;-&quot;_);_(@_)"/>
    <numFmt numFmtId="171" formatCode="_(* #,##0.00_);_(* \(#,##0.00\);_(* &quot;-&quot;_);_(@_)"/>
    <numFmt numFmtId="188" formatCode="_(* #,##0.0_);_(* \(#,##0.0\);_(* &quot;-&quot;?_);_(@_)"/>
  </numFmts>
  <fonts count="29" x14ac:knownFonts="1">
    <font>
      <sz val="11"/>
      <color theme="1"/>
      <name val="Aptos Narrow"/>
      <family val="2"/>
      <scheme val="minor"/>
    </font>
    <font>
      <sz val="11"/>
      <color theme="1"/>
      <name val="Aptos Narrow"/>
      <family val="2"/>
      <scheme val="minor"/>
    </font>
    <font>
      <b/>
      <sz val="11"/>
      <color rgb="FF3F3F3F"/>
      <name val="Aptos Narrow"/>
      <family val="2"/>
      <scheme val="minor"/>
    </font>
    <font>
      <b/>
      <sz val="11"/>
      <color theme="0"/>
      <name val="Aptos Narrow"/>
      <family val="2"/>
      <scheme val="minor"/>
    </font>
    <font>
      <b/>
      <sz val="11"/>
      <color theme="1"/>
      <name val="Aptos Narrow"/>
      <family val="2"/>
      <scheme val="minor"/>
    </font>
    <font>
      <b/>
      <i/>
      <sz val="11"/>
      <color theme="1"/>
      <name val="Aptos Narrow"/>
      <family val="2"/>
      <scheme val="minor"/>
    </font>
    <font>
      <sz val="10"/>
      <color theme="1"/>
      <name val="Aptos Narrow"/>
      <family val="2"/>
      <scheme val="minor"/>
    </font>
    <font>
      <sz val="18"/>
      <color theme="0"/>
      <name val="Aptos Narrow"/>
      <family val="2"/>
      <scheme val="minor"/>
    </font>
    <font>
      <sz val="20"/>
      <color theme="0"/>
      <name val="Aptos Narrow"/>
      <family val="2"/>
      <scheme val="minor"/>
    </font>
    <font>
      <b/>
      <sz val="48"/>
      <color theme="0"/>
      <name val="Aptos Narrow"/>
      <family val="2"/>
      <scheme val="minor"/>
    </font>
    <font>
      <b/>
      <sz val="36"/>
      <color theme="0"/>
      <name val="Aptos Narrow"/>
      <family val="2"/>
      <scheme val="minor"/>
    </font>
    <font>
      <b/>
      <sz val="14"/>
      <color theme="0"/>
      <name val="Aptos Narrow"/>
      <family val="2"/>
      <scheme val="minor"/>
    </font>
    <font>
      <b/>
      <sz val="16"/>
      <color theme="0"/>
      <name val="Aptos Narrow"/>
      <family val="2"/>
      <scheme val="minor"/>
    </font>
    <font>
      <b/>
      <sz val="18"/>
      <color theme="3"/>
      <name val="Aptos Narrow"/>
      <family val="2"/>
      <scheme val="minor"/>
    </font>
    <font>
      <sz val="10"/>
      <color theme="0" tint="-0.499984740745262"/>
      <name val="Aptos Narrow"/>
      <family val="2"/>
      <scheme val="minor"/>
    </font>
    <font>
      <sz val="11"/>
      <color theme="0" tint="-0.499984740745262"/>
      <name val="Aptos Narrow"/>
      <family val="2"/>
      <scheme val="minor"/>
    </font>
    <font>
      <b/>
      <sz val="11"/>
      <color theme="0" tint="-0.499984740745262"/>
      <name val="Aptos Narrow"/>
      <family val="2"/>
      <scheme val="minor"/>
    </font>
    <font>
      <b/>
      <sz val="10"/>
      <color theme="0" tint="-0.499984740745262"/>
      <name val="Aptos Narrow"/>
      <family val="2"/>
      <scheme val="minor"/>
    </font>
    <font>
      <i/>
      <sz val="9"/>
      <color theme="0" tint="-0.499984740745262"/>
      <name val="Aptos Narrow"/>
      <family val="2"/>
      <scheme val="minor"/>
    </font>
    <font>
      <i/>
      <sz val="10"/>
      <color theme="0" tint="-0.499984740745262"/>
      <name val="Aptos Narrow"/>
      <family val="2"/>
      <scheme val="minor"/>
    </font>
    <font>
      <b/>
      <sz val="10"/>
      <color theme="1"/>
      <name val="Aptos Narrow"/>
      <family val="2"/>
      <scheme val="minor"/>
    </font>
    <font>
      <i/>
      <sz val="11"/>
      <color theme="0" tint="-0.499984740745262"/>
      <name val="Aptos Narrow"/>
      <family val="2"/>
      <scheme val="minor"/>
    </font>
    <font>
      <i/>
      <sz val="12"/>
      <color theme="0" tint="-0.499984740745262"/>
      <name val="Aptos Narrow"/>
      <family val="2"/>
      <scheme val="minor"/>
    </font>
    <font>
      <b/>
      <i/>
      <sz val="10"/>
      <color theme="1"/>
      <name val="Aptos Narrow"/>
      <family val="2"/>
      <scheme val="minor"/>
    </font>
    <font>
      <b/>
      <sz val="18"/>
      <color theme="1"/>
      <name val="Aptos Narrow"/>
      <family val="2"/>
      <scheme val="minor"/>
    </font>
    <font>
      <sz val="11"/>
      <color theme="0"/>
      <name val="Aptos Narrow"/>
      <family val="2"/>
      <scheme val="minor"/>
    </font>
    <font>
      <i/>
      <sz val="10"/>
      <color theme="1"/>
      <name val="Aptos Narrow"/>
      <family val="2"/>
      <scheme val="minor"/>
    </font>
    <font>
      <sz val="11"/>
      <color theme="6"/>
      <name val="Aptos Narrow"/>
      <family val="2"/>
      <scheme val="minor"/>
    </font>
    <font>
      <sz val="10"/>
      <color theme="6"/>
      <name val="Aptos Narrow"/>
      <family val="2"/>
      <scheme val="minor"/>
    </font>
  </fonts>
  <fills count="10">
    <fill>
      <patternFill patternType="none"/>
    </fill>
    <fill>
      <patternFill patternType="gray125"/>
    </fill>
    <fill>
      <patternFill patternType="solid">
        <fgColor rgb="FFF2F2F2"/>
      </patternFill>
    </fill>
    <fill>
      <patternFill patternType="solid">
        <fgColor rgb="FF0070C0"/>
        <bgColor indexed="64"/>
      </patternFill>
    </fill>
    <fill>
      <patternFill patternType="solid">
        <fgColor rgb="FFFFC000"/>
        <bgColor indexed="64"/>
      </patternFill>
    </fill>
    <fill>
      <patternFill patternType="solid">
        <fgColor theme="2"/>
        <bgColor indexed="64"/>
      </patternFill>
    </fill>
    <fill>
      <patternFill patternType="solid">
        <fgColor theme="3"/>
        <bgColor indexed="64"/>
      </patternFill>
    </fill>
    <fill>
      <patternFill patternType="solid">
        <fgColor theme="0"/>
        <bgColor indexed="64"/>
      </patternFill>
    </fill>
    <fill>
      <patternFill patternType="solid">
        <fgColor rgb="FFFFFF00"/>
        <bgColor indexed="64"/>
      </patternFill>
    </fill>
    <fill>
      <patternFill patternType="solid">
        <fgColor theme="1"/>
        <bgColor indexed="64"/>
      </patternFill>
    </fill>
  </fills>
  <borders count="11">
    <border>
      <left/>
      <right/>
      <top/>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2" borderId="1" applyNumberFormat="0" applyAlignment="0" applyProtection="0"/>
    <xf numFmtId="0" fontId="4" fillId="0" borderId="2" applyNumberFormat="0" applyFill="0" applyAlignment="0" applyProtection="0"/>
  </cellStyleXfs>
  <cellXfs count="359">
    <xf numFmtId="0" fontId="0" fillId="0" borderId="0" xfId="0"/>
    <xf numFmtId="0" fontId="0" fillId="0" borderId="0" xfId="0" applyAlignment="1">
      <alignment horizontal="center"/>
    </xf>
    <xf numFmtId="0" fontId="7" fillId="0" borderId="0" xfId="0" applyFont="1"/>
    <xf numFmtId="0" fontId="0" fillId="0" borderId="0" xfId="0" applyAlignment="1">
      <alignment horizontal="left"/>
    </xf>
    <xf numFmtId="0" fontId="15" fillId="0" borderId="0" xfId="0" applyFont="1"/>
    <xf numFmtId="10" fontId="6" fillId="0" borderId="0" xfId="2" applyNumberFormat="1" applyFont="1" applyFill="1" applyAlignment="1">
      <alignment horizontal="right"/>
    </xf>
    <xf numFmtId="10" fontId="20" fillId="0" borderId="0" xfId="2" applyNumberFormat="1" applyFont="1" applyFill="1" applyAlignment="1">
      <alignment horizontal="right"/>
    </xf>
    <xf numFmtId="0" fontId="18" fillId="0" borderId="0" xfId="0" applyFont="1" applyAlignment="1">
      <alignment vertical="top"/>
    </xf>
    <xf numFmtId="0" fontId="3" fillId="0" borderId="0" xfId="0" applyFont="1" applyAlignment="1">
      <alignment horizontal="center"/>
    </xf>
    <xf numFmtId="0" fontId="0" fillId="0" borderId="0" xfId="0" applyAlignment="1">
      <alignment vertical="top"/>
    </xf>
    <xf numFmtId="0" fontId="3" fillId="0" borderId="0" xfId="3" applyFont="1" applyFill="1" applyBorder="1" applyAlignment="1">
      <alignment vertical="center"/>
    </xf>
    <xf numFmtId="0" fontId="0" fillId="7" borderId="0" xfId="0" applyFill="1"/>
    <xf numFmtId="0" fontId="5" fillId="0" borderId="0" xfId="0" applyFont="1"/>
    <xf numFmtId="0" fontId="23" fillId="0" borderId="0" xfId="0" applyFont="1" applyAlignment="1">
      <alignment horizontal="left"/>
    </xf>
    <xf numFmtId="0" fontId="12" fillId="3" borderId="0" xfId="0" applyFont="1" applyFill="1" applyAlignment="1">
      <alignment horizontal="center"/>
    </xf>
    <xf numFmtId="0" fontId="3" fillId="6" borderId="0" xfId="0" applyFont="1" applyFill="1"/>
    <xf numFmtId="10" fontId="24" fillId="0" borderId="0" xfId="2" applyNumberFormat="1" applyFont="1" applyAlignment="1">
      <alignment horizontal="center" vertical="center"/>
    </xf>
    <xf numFmtId="0" fontId="21" fillId="0" borderId="0" xfId="0" applyFont="1" applyAlignment="1">
      <alignment horizontal="left"/>
    </xf>
    <xf numFmtId="0" fontId="0" fillId="0" borderId="0" xfId="0" applyAlignment="1">
      <alignment horizontal="left"/>
    </xf>
    <xf numFmtId="0" fontId="12" fillId="3" borderId="0" xfId="3" applyFont="1" applyFill="1" applyBorder="1" applyAlignment="1">
      <alignment horizontal="center" vertical="center"/>
    </xf>
    <xf numFmtId="0" fontId="3" fillId="3" borderId="0" xfId="3" applyFont="1" applyFill="1" applyBorder="1" applyAlignment="1">
      <alignment horizontal="center" vertical="center"/>
    </xf>
    <xf numFmtId="0" fontId="14" fillId="0" borderId="0" xfId="0" applyFont="1" applyFill="1" applyAlignment="1">
      <alignment horizontal="left"/>
    </xf>
    <xf numFmtId="0" fontId="14" fillId="0" borderId="0" xfId="0" applyFont="1" applyFill="1" applyAlignment="1">
      <alignment horizontal="center"/>
    </xf>
    <xf numFmtId="0" fontId="17" fillId="0" borderId="0" xfId="0" applyFont="1" applyFill="1" applyAlignment="1">
      <alignment horizontal="left"/>
    </xf>
    <xf numFmtId="42" fontId="0" fillId="0" borderId="0" xfId="0" applyNumberFormat="1"/>
    <xf numFmtId="41" fontId="0" fillId="0" borderId="0" xfId="0" applyNumberFormat="1"/>
    <xf numFmtId="0" fontId="0" fillId="0" borderId="0" xfId="0" applyFill="1"/>
    <xf numFmtId="10" fontId="0" fillId="0" borderId="0" xfId="2" applyNumberFormat="1" applyFont="1"/>
    <xf numFmtId="0" fontId="6" fillId="0" borderId="0" xfId="0" applyFont="1"/>
    <xf numFmtId="42" fontId="6" fillId="0" borderId="0" xfId="0" applyNumberFormat="1" applyFont="1"/>
    <xf numFmtId="10" fontId="6" fillId="0" borderId="0" xfId="2" applyNumberFormat="1" applyFont="1"/>
    <xf numFmtId="41" fontId="6" fillId="0" borderId="0" xfId="0" applyNumberFormat="1" applyFont="1"/>
    <xf numFmtId="0" fontId="12" fillId="3" borderId="3" xfId="3" applyFont="1" applyFill="1" applyBorder="1" applyAlignment="1">
      <alignment horizontal="center" vertical="center"/>
    </xf>
    <xf numFmtId="0" fontId="3" fillId="3" borderId="4" xfId="3" applyFont="1" applyFill="1" applyBorder="1" applyAlignment="1">
      <alignment horizontal="center" vertical="center"/>
    </xf>
    <xf numFmtId="0" fontId="3" fillId="3" borderId="5" xfId="3" applyFont="1" applyFill="1" applyBorder="1" applyAlignment="1">
      <alignment horizontal="center" vertical="center"/>
    </xf>
    <xf numFmtId="0" fontId="3" fillId="3" borderId="6" xfId="3" applyFont="1" applyFill="1" applyBorder="1" applyAlignment="1">
      <alignment horizontal="center" vertical="center"/>
    </xf>
    <xf numFmtId="0" fontId="3" fillId="3" borderId="7" xfId="3" applyFont="1" applyFill="1" applyBorder="1" applyAlignment="1">
      <alignment horizontal="center" vertical="center"/>
    </xf>
    <xf numFmtId="0" fontId="22" fillId="0" borderId="6" xfId="0" applyFont="1" applyBorder="1" applyAlignment="1">
      <alignment horizontal="center" vertical="top"/>
    </xf>
    <xf numFmtId="0" fontId="18" fillId="0" borderId="0" xfId="0" applyFont="1" applyBorder="1" applyAlignment="1">
      <alignment horizontal="center" vertical="top"/>
    </xf>
    <xf numFmtId="0" fontId="18" fillId="0" borderId="7" xfId="0" applyFont="1" applyBorder="1" applyAlignment="1">
      <alignment horizontal="center" vertical="top"/>
    </xf>
    <xf numFmtId="0" fontId="3" fillId="6" borderId="6" xfId="0" applyFont="1" applyFill="1" applyBorder="1" applyAlignment="1">
      <alignment horizontal="center"/>
    </xf>
    <xf numFmtId="0" fontId="3" fillId="6" borderId="0" xfId="0" applyFont="1" applyFill="1" applyBorder="1" applyAlignment="1">
      <alignment horizontal="center"/>
    </xf>
    <xf numFmtId="0" fontId="3" fillId="6" borderId="7" xfId="0" applyFont="1" applyFill="1" applyBorder="1" applyAlignment="1">
      <alignment horizontal="center"/>
    </xf>
    <xf numFmtId="0" fontId="19" fillId="0" borderId="6" xfId="0" applyFont="1" applyBorder="1" applyAlignment="1">
      <alignment horizontal="left" vertical="top"/>
    </xf>
    <xf numFmtId="0" fontId="0" fillId="0" borderId="0" xfId="0" applyBorder="1" applyAlignment="1">
      <alignment horizontal="left" vertical="top"/>
    </xf>
    <xf numFmtId="0" fontId="0" fillId="0" borderId="7" xfId="0" applyBorder="1" applyAlignment="1">
      <alignment horizontal="left" vertical="top"/>
    </xf>
    <xf numFmtId="0" fontId="6" fillId="5" borderId="6" xfId="0" applyFont="1" applyFill="1" applyBorder="1"/>
    <xf numFmtId="10" fontId="20" fillId="5" borderId="0" xfId="2" applyNumberFormat="1" applyFont="1" applyFill="1" applyBorder="1" applyAlignment="1">
      <alignment horizontal="right"/>
    </xf>
    <xf numFmtId="10" fontId="20" fillId="5" borderId="7" xfId="2" applyNumberFormat="1" applyFont="1" applyFill="1" applyBorder="1" applyAlignment="1">
      <alignment horizontal="right"/>
    </xf>
    <xf numFmtId="0" fontId="6" fillId="0" borderId="6" xfId="0" applyFont="1" applyBorder="1" applyAlignment="1">
      <alignment horizontal="left"/>
    </xf>
    <xf numFmtId="10" fontId="20" fillId="0" borderId="0" xfId="2" applyNumberFormat="1" applyFont="1" applyBorder="1" applyAlignment="1">
      <alignment horizontal="right"/>
    </xf>
    <xf numFmtId="10" fontId="20" fillId="0" borderId="7" xfId="2" applyNumberFormat="1" applyFont="1" applyBorder="1" applyAlignment="1">
      <alignment horizontal="right"/>
    </xf>
    <xf numFmtId="0" fontId="6" fillId="5" borderId="6" xfId="0" applyFont="1" applyFill="1" applyBorder="1" applyAlignment="1">
      <alignment horizontal="left"/>
    </xf>
    <xf numFmtId="0" fontId="6" fillId="7" borderId="6" xfId="0" applyFont="1" applyFill="1" applyBorder="1" applyAlignment="1">
      <alignment horizontal="left"/>
    </xf>
    <xf numFmtId="10" fontId="20" fillId="7" borderId="0" xfId="2" applyNumberFormat="1" applyFont="1" applyFill="1" applyBorder="1" applyAlignment="1">
      <alignment horizontal="right"/>
    </xf>
    <xf numFmtId="10" fontId="20" fillId="7" borderId="7" xfId="2" applyNumberFormat="1" applyFont="1" applyFill="1" applyBorder="1" applyAlignment="1">
      <alignment horizontal="right"/>
    </xf>
    <xf numFmtId="3" fontId="0" fillId="0" borderId="0" xfId="0" applyNumberFormat="1" applyBorder="1" applyAlignment="1">
      <alignment horizontal="right"/>
    </xf>
    <xf numFmtId="3" fontId="0" fillId="0" borderId="9" xfId="0" applyNumberFormat="1" applyBorder="1" applyAlignment="1">
      <alignment horizontal="right"/>
    </xf>
    <xf numFmtId="3" fontId="0" fillId="0" borderId="10" xfId="0" applyNumberFormat="1" applyBorder="1" applyAlignment="1">
      <alignment horizontal="right"/>
    </xf>
    <xf numFmtId="0" fontId="0" fillId="0" borderId="5" xfId="0" applyBorder="1"/>
    <xf numFmtId="0" fontId="0" fillId="0" borderId="7" xfId="0" applyBorder="1"/>
    <xf numFmtId="0" fontId="0" fillId="0" borderId="10" xfId="0" applyBorder="1"/>
    <xf numFmtId="0" fontId="0" fillId="0" borderId="8" xfId="0" applyBorder="1"/>
    <xf numFmtId="0" fontId="0" fillId="0" borderId="9" xfId="0" applyBorder="1"/>
    <xf numFmtId="0" fontId="0" fillId="0" borderId="3" xfId="0" applyBorder="1"/>
    <xf numFmtId="0" fontId="0" fillId="0" borderId="4" xfId="0" applyBorder="1"/>
    <xf numFmtId="0" fontId="12" fillId="3" borderId="6" xfId="3" applyFont="1" applyFill="1" applyBorder="1" applyAlignment="1">
      <alignment horizontal="center" vertical="center"/>
    </xf>
    <xf numFmtId="42" fontId="6" fillId="5" borderId="6" xfId="0" applyNumberFormat="1" applyFont="1" applyFill="1" applyBorder="1"/>
    <xf numFmtId="42" fontId="20" fillId="5" borderId="0" xfId="2" applyNumberFormat="1" applyFont="1" applyFill="1" applyBorder="1" applyAlignment="1">
      <alignment horizontal="right"/>
    </xf>
    <xf numFmtId="41" fontId="6" fillId="0" borderId="6" xfId="0" applyNumberFormat="1" applyFont="1" applyFill="1" applyBorder="1" applyAlignment="1">
      <alignment horizontal="left"/>
    </xf>
    <xf numFmtId="41" fontId="20" fillId="0" borderId="0" xfId="2" applyNumberFormat="1" applyFont="1" applyFill="1" applyBorder="1" applyAlignment="1">
      <alignment horizontal="right"/>
    </xf>
    <xf numFmtId="10" fontId="6" fillId="5" borderId="6" xfId="2" applyNumberFormat="1" applyFont="1" applyFill="1" applyBorder="1"/>
    <xf numFmtId="10" fontId="6" fillId="5" borderId="0" xfId="2" applyNumberFormat="1" applyFont="1" applyFill="1" applyBorder="1"/>
    <xf numFmtId="10" fontId="26" fillId="5" borderId="0" xfId="2" applyNumberFormat="1" applyFont="1" applyFill="1" applyBorder="1" applyAlignment="1">
      <alignment horizontal="center"/>
    </xf>
    <xf numFmtId="41" fontId="6" fillId="0" borderId="6" xfId="0" applyNumberFormat="1" applyFont="1" applyBorder="1"/>
    <xf numFmtId="170" fontId="6" fillId="0" borderId="0" xfId="0" applyNumberFormat="1" applyFont="1" applyBorder="1"/>
    <xf numFmtId="41" fontId="26" fillId="0" borderId="0" xfId="0" applyNumberFormat="1" applyFont="1" applyBorder="1" applyAlignment="1">
      <alignment horizontal="center"/>
    </xf>
    <xf numFmtId="10" fontId="6" fillId="0" borderId="6" xfId="2" applyNumberFormat="1" applyFont="1" applyBorder="1"/>
    <xf numFmtId="10" fontId="20" fillId="0" borderId="0" xfId="2" applyNumberFormat="1" applyFont="1" applyBorder="1"/>
    <xf numFmtId="10" fontId="20" fillId="0" borderId="0" xfId="2" applyNumberFormat="1" applyFont="1" applyBorder="1" applyAlignment="1">
      <alignment horizontal="center"/>
    </xf>
    <xf numFmtId="10" fontId="20" fillId="5" borderId="0" xfId="2" applyNumberFormat="1" applyFont="1" applyFill="1" applyBorder="1"/>
    <xf numFmtId="10" fontId="20" fillId="5" borderId="0" xfId="2" applyNumberFormat="1" applyFont="1" applyFill="1" applyBorder="1" applyAlignment="1">
      <alignment horizontal="center"/>
    </xf>
    <xf numFmtId="41" fontId="6" fillId="5" borderId="6" xfId="0" applyNumberFormat="1" applyFont="1" applyFill="1" applyBorder="1" applyAlignment="1">
      <alignment horizontal="left"/>
    </xf>
    <xf numFmtId="171" fontId="6" fillId="5" borderId="0" xfId="2" applyNumberFormat="1" applyFont="1" applyFill="1" applyBorder="1" applyAlignment="1">
      <alignment horizontal="right"/>
    </xf>
    <xf numFmtId="41" fontId="26" fillId="5" borderId="0" xfId="2" applyNumberFormat="1" applyFont="1" applyFill="1" applyBorder="1" applyAlignment="1">
      <alignment horizontal="center"/>
    </xf>
    <xf numFmtId="41" fontId="20" fillId="5" borderId="0" xfId="2" applyNumberFormat="1" applyFont="1" applyFill="1" applyBorder="1" applyAlignment="1">
      <alignment horizontal="center"/>
    </xf>
    <xf numFmtId="41" fontId="6" fillId="0" borderId="6" xfId="0" applyNumberFormat="1" applyFont="1" applyFill="1" applyBorder="1"/>
    <xf numFmtId="41" fontId="6" fillId="0" borderId="0" xfId="0" applyNumberFormat="1" applyFont="1" applyFill="1" applyBorder="1"/>
    <xf numFmtId="41" fontId="26" fillId="0" borderId="0" xfId="0" applyNumberFormat="1" applyFont="1" applyFill="1" applyBorder="1" applyAlignment="1">
      <alignment horizontal="center"/>
    </xf>
    <xf numFmtId="41" fontId="20" fillId="5" borderId="0" xfId="0" applyNumberFormat="1" applyFont="1" applyFill="1" applyBorder="1"/>
    <xf numFmtId="41" fontId="20" fillId="5" borderId="0" xfId="0" applyNumberFormat="1" applyFont="1" applyFill="1" applyBorder="1" applyAlignment="1">
      <alignment horizontal="center"/>
    </xf>
    <xf numFmtId="0" fontId="6" fillId="0" borderId="6" xfId="0" applyFont="1" applyBorder="1"/>
    <xf numFmtId="0" fontId="6" fillId="0" borderId="0" xfId="0" applyFont="1" applyBorder="1"/>
    <xf numFmtId="0" fontId="0" fillId="0" borderId="6" xfId="0" applyBorder="1"/>
    <xf numFmtId="0" fontId="0" fillId="0" borderId="0" xfId="0" applyBorder="1"/>
    <xf numFmtId="0" fontId="22" fillId="0" borderId="0" xfId="0" applyFont="1" applyBorder="1" applyAlignment="1">
      <alignment horizontal="center" vertical="top"/>
    </xf>
    <xf numFmtId="0" fontId="23" fillId="0" borderId="0" xfId="0" applyFont="1" applyBorder="1" applyAlignment="1">
      <alignment horizontal="left"/>
    </xf>
    <xf numFmtId="42" fontId="6" fillId="0" borderId="0" xfId="0" applyNumberFormat="1" applyFont="1" applyBorder="1"/>
    <xf numFmtId="41" fontId="6" fillId="0" borderId="0" xfId="0" applyNumberFormat="1" applyFont="1" applyFill="1" applyBorder="1" applyAlignment="1">
      <alignment horizontal="left"/>
    </xf>
    <xf numFmtId="43" fontId="0" fillId="0" borderId="0" xfId="0" applyNumberFormat="1" applyFill="1" applyBorder="1"/>
    <xf numFmtId="10" fontId="6" fillId="0" borderId="0" xfId="2" applyNumberFormat="1" applyFont="1" applyBorder="1"/>
    <xf numFmtId="41" fontId="6" fillId="0" borderId="0" xfId="0" applyNumberFormat="1" applyFont="1" applyBorder="1"/>
    <xf numFmtId="10" fontId="6" fillId="0" borderId="0" xfId="2" applyNumberFormat="1" applyFont="1" applyFill="1" applyBorder="1"/>
    <xf numFmtId="188" fontId="0" fillId="0" borderId="6" xfId="0" applyNumberFormat="1" applyBorder="1"/>
    <xf numFmtId="188" fontId="0" fillId="0" borderId="0" xfId="0" applyNumberFormat="1" applyBorder="1"/>
    <xf numFmtId="41" fontId="0" fillId="5" borderId="0" xfId="0" applyNumberFormat="1" applyFill="1" applyBorder="1"/>
    <xf numFmtId="42" fontId="0" fillId="0" borderId="0" xfId="0" applyNumberFormat="1" applyBorder="1"/>
    <xf numFmtId="41" fontId="20" fillId="5" borderId="0" xfId="2" applyNumberFormat="1" applyFont="1" applyFill="1" applyBorder="1" applyAlignment="1">
      <alignment horizontal="right"/>
    </xf>
    <xf numFmtId="0" fontId="0" fillId="0" borderId="0" xfId="0" applyFill="1" applyBorder="1"/>
    <xf numFmtId="10" fontId="3" fillId="6" borderId="0" xfId="2" applyNumberFormat="1" applyFont="1" applyFill="1" applyBorder="1" applyAlignment="1">
      <alignment horizontal="center"/>
    </xf>
    <xf numFmtId="0" fontId="0" fillId="0" borderId="0" xfId="0" applyBorder="1" applyAlignment="1">
      <alignment horizontal="center"/>
    </xf>
    <xf numFmtId="43" fontId="19" fillId="0" borderId="0" xfId="0" applyNumberFormat="1" applyFont="1" applyBorder="1" applyAlignment="1">
      <alignment vertical="top"/>
    </xf>
    <xf numFmtId="42" fontId="6" fillId="0" borderId="0" xfId="0" applyNumberFormat="1" applyFont="1" applyFill="1" applyBorder="1"/>
    <xf numFmtId="42" fontId="20" fillId="0" borderId="0" xfId="2" applyNumberFormat="1" applyFont="1" applyFill="1" applyBorder="1" applyAlignment="1">
      <alignment horizontal="right"/>
    </xf>
    <xf numFmtId="0" fontId="3" fillId="0" borderId="0" xfId="0" applyFont="1" applyFill="1" applyBorder="1" applyAlignment="1">
      <alignment horizontal="center"/>
    </xf>
    <xf numFmtId="0" fontId="19" fillId="0" borderId="0" xfId="0" applyFont="1" applyFill="1" applyBorder="1" applyAlignment="1">
      <alignment vertical="top"/>
    </xf>
    <xf numFmtId="0" fontId="0" fillId="0" borderId="0" xfId="0" applyFill="1" applyBorder="1" applyAlignment="1">
      <alignment vertical="top"/>
    </xf>
    <xf numFmtId="0" fontId="3" fillId="0" borderId="0" xfId="0" applyFont="1" applyFill="1" applyAlignment="1">
      <alignment horizontal="center"/>
    </xf>
    <xf numFmtId="10" fontId="24" fillId="0" borderId="0" xfId="2" applyNumberFormat="1" applyFont="1" applyFill="1" applyAlignment="1">
      <alignment horizontal="center" vertical="center"/>
    </xf>
    <xf numFmtId="3" fontId="24" fillId="0" borderId="0" xfId="0" applyNumberFormat="1" applyFont="1" applyFill="1" applyAlignment="1">
      <alignment horizontal="center" vertical="center"/>
    </xf>
    <xf numFmtId="0" fontId="24" fillId="0" borderId="0" xfId="0" applyFont="1" applyFill="1" applyAlignment="1">
      <alignment horizontal="center" vertical="center"/>
    </xf>
    <xf numFmtId="10" fontId="24" fillId="0" borderId="0" xfId="2" applyNumberFormat="1" applyFont="1" applyFill="1" applyAlignment="1">
      <alignment horizontal="center" vertical="center"/>
    </xf>
    <xf numFmtId="0" fontId="15" fillId="0" borderId="0" xfId="0" applyFont="1" applyFill="1"/>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0" fillId="0" borderId="6" xfId="0" applyBorder="1" applyAlignment="1"/>
    <xf numFmtId="0" fontId="0" fillId="0" borderId="0" xfId="0" applyBorder="1" applyAlignment="1"/>
    <xf numFmtId="0" fontId="0" fillId="0" borderId="7" xfId="0" applyBorder="1" applyAlignment="1"/>
    <xf numFmtId="0" fontId="0" fillId="0" borderId="0" xfId="0" applyBorder="1" applyAlignment="1">
      <alignment horizontal="right"/>
    </xf>
    <xf numFmtId="0" fontId="0" fillId="0" borderId="7" xfId="0" applyBorder="1" applyAlignment="1">
      <alignment horizontal="center"/>
    </xf>
    <xf numFmtId="0" fontId="27" fillId="8" borderId="6" xfId="0" applyFont="1" applyFill="1" applyBorder="1"/>
    <xf numFmtId="0" fontId="25" fillId="3" borderId="6" xfId="0" applyFont="1" applyFill="1" applyBorder="1"/>
    <xf numFmtId="0" fontId="0" fillId="7" borderId="8" xfId="0" applyFill="1" applyBorder="1"/>
    <xf numFmtId="0" fontId="0" fillId="7" borderId="9" xfId="0" applyFill="1" applyBorder="1" applyAlignment="1">
      <alignment horizontal="right"/>
    </xf>
    <xf numFmtId="0" fontId="0" fillId="7" borderId="9" xfId="0" applyFill="1" applyBorder="1" applyAlignment="1">
      <alignment horizontal="center"/>
    </xf>
    <xf numFmtId="0" fontId="0" fillId="7" borderId="10" xfId="0" applyFill="1" applyBorder="1" applyAlignment="1">
      <alignment horizontal="center"/>
    </xf>
    <xf numFmtId="0" fontId="17" fillId="5" borderId="6" xfId="0" applyFont="1" applyFill="1" applyBorder="1" applyAlignment="1">
      <alignment horizontal="left" vertical="center"/>
    </xf>
    <xf numFmtId="0" fontId="17" fillId="5" borderId="0" xfId="0" applyFont="1" applyFill="1" applyBorder="1" applyAlignment="1">
      <alignment horizontal="left" vertical="center"/>
    </xf>
    <xf numFmtId="0" fontId="14" fillId="5" borderId="0" xfId="0" applyFont="1" applyFill="1" applyBorder="1" applyAlignment="1">
      <alignment horizontal="center"/>
    </xf>
    <xf numFmtId="0" fontId="14" fillId="5" borderId="7" xfId="0" applyFont="1" applyFill="1" applyBorder="1" applyAlignment="1">
      <alignment horizontal="center"/>
    </xf>
    <xf numFmtId="0" fontId="17" fillId="0" borderId="6" xfId="0" applyFont="1" applyBorder="1" applyAlignment="1">
      <alignment horizontal="left"/>
    </xf>
    <xf numFmtId="0" fontId="17" fillId="0" borderId="0" xfId="0" applyFont="1" applyBorder="1" applyAlignment="1">
      <alignment horizontal="left"/>
    </xf>
    <xf numFmtId="0" fontId="14" fillId="0" borderId="0" xfId="0" applyFont="1" applyBorder="1" applyAlignment="1">
      <alignment horizontal="center"/>
    </xf>
    <xf numFmtId="0" fontId="14" fillId="0" borderId="7" xfId="0" applyFont="1" applyBorder="1" applyAlignment="1">
      <alignment horizontal="center"/>
    </xf>
    <xf numFmtId="0" fontId="17" fillId="5" borderId="6" xfId="0" applyFont="1" applyFill="1" applyBorder="1" applyAlignment="1">
      <alignment horizontal="left"/>
    </xf>
    <xf numFmtId="0" fontId="17" fillId="5" borderId="0" xfId="0" applyFont="1" applyFill="1" applyBorder="1" applyAlignment="1">
      <alignment horizontal="left"/>
    </xf>
    <xf numFmtId="0" fontId="14" fillId="0" borderId="0" xfId="0" applyFont="1" applyBorder="1" applyAlignment="1">
      <alignment horizontal="left"/>
    </xf>
    <xf numFmtId="0" fontId="17" fillId="7" borderId="6" xfId="0" applyFont="1" applyFill="1" applyBorder="1" applyAlignment="1">
      <alignment horizontal="left"/>
    </xf>
    <xf numFmtId="0" fontId="14" fillId="7" borderId="0" xfId="0" applyFont="1" applyFill="1" applyBorder="1" applyAlignment="1">
      <alignment horizontal="left"/>
    </xf>
    <xf numFmtId="0" fontId="14" fillId="7" borderId="0" xfId="0" applyFont="1" applyFill="1" applyBorder="1" applyAlignment="1">
      <alignment horizontal="center"/>
    </xf>
    <xf numFmtId="0" fontId="14" fillId="7" borderId="7" xfId="0" applyFont="1" applyFill="1" applyBorder="1" applyAlignment="1">
      <alignment horizontal="center"/>
    </xf>
    <xf numFmtId="0" fontId="14" fillId="5" borderId="0" xfId="0" applyFont="1" applyFill="1" applyBorder="1" applyAlignment="1">
      <alignment horizontal="left"/>
    </xf>
    <xf numFmtId="0" fontId="14" fillId="0" borderId="8" xfId="0" applyFont="1" applyFill="1" applyBorder="1" applyAlignment="1">
      <alignment horizontal="left"/>
    </xf>
    <xf numFmtId="0" fontId="14" fillId="0" borderId="9" xfId="0" applyFont="1" applyFill="1" applyBorder="1" applyAlignment="1">
      <alignment horizontal="left"/>
    </xf>
    <xf numFmtId="0" fontId="14" fillId="0" borderId="9" xfId="0" applyFont="1" applyFill="1" applyBorder="1" applyAlignment="1">
      <alignment horizontal="center"/>
    </xf>
    <xf numFmtId="0" fontId="14" fillId="0" borderId="10" xfId="0" applyFont="1" applyFill="1" applyBorder="1" applyAlignment="1">
      <alignment horizontal="center"/>
    </xf>
    <xf numFmtId="0" fontId="7" fillId="0" borderId="6" xfId="0" applyFont="1" applyBorder="1"/>
    <xf numFmtId="0" fontId="7" fillId="0" borderId="0" xfId="0" applyFont="1" applyBorder="1"/>
    <xf numFmtId="0" fontId="7" fillId="0" borderId="7" xfId="0" applyFont="1" applyBorder="1"/>
    <xf numFmtId="0" fontId="15" fillId="0" borderId="6" xfId="0" applyFont="1" applyBorder="1" applyAlignment="1">
      <alignment horizontal="center" vertical="center"/>
    </xf>
    <xf numFmtId="0" fontId="15" fillId="0" borderId="0" xfId="0" applyFont="1" applyBorder="1" applyAlignment="1">
      <alignment horizontal="center" vertical="center"/>
    </xf>
    <xf numFmtId="0" fontId="15" fillId="0" borderId="7" xfId="0" applyFont="1" applyBorder="1" applyAlignment="1">
      <alignment horizontal="center" vertical="center"/>
    </xf>
    <xf numFmtId="0" fontId="15" fillId="0" borderId="6" xfId="0" applyFont="1" applyBorder="1" applyAlignment="1">
      <alignment horizontal="center"/>
    </xf>
    <xf numFmtId="0" fontId="15" fillId="0" borderId="0" xfId="0" applyFont="1" applyBorder="1" applyAlignment="1">
      <alignment horizontal="center"/>
    </xf>
    <xf numFmtId="0" fontId="15" fillId="0" borderId="7" xfId="0" applyFont="1" applyBorder="1" applyAlignment="1">
      <alignment horizontal="center"/>
    </xf>
    <xf numFmtId="0" fontId="15" fillId="0" borderId="6" xfId="0" applyFont="1" applyBorder="1"/>
    <xf numFmtId="0" fontId="15" fillId="0" borderId="0" xfId="0" applyFont="1" applyBorder="1"/>
    <xf numFmtId="0" fontId="15" fillId="0" borderId="0" xfId="0" applyFont="1" applyBorder="1" applyAlignment="1">
      <alignment vertical="top"/>
    </xf>
    <xf numFmtId="0" fontId="15" fillId="0" borderId="7" xfId="0" applyFont="1" applyBorder="1"/>
    <xf numFmtId="0" fontId="15" fillId="0" borderId="8"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3" fillId="0" borderId="10" xfId="0" applyFont="1" applyBorder="1" applyAlignment="1">
      <alignment horizontal="center" vertic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3" borderId="5" xfId="0" applyFont="1" applyFill="1" applyBorder="1" applyAlignment="1">
      <alignment horizontal="center"/>
    </xf>
    <xf numFmtId="0" fontId="10" fillId="3" borderId="6" xfId="0" applyFont="1" applyFill="1" applyBorder="1" applyAlignment="1">
      <alignment horizontal="center"/>
    </xf>
    <xf numFmtId="0" fontId="10" fillId="3" borderId="0" xfId="0" applyFont="1" applyFill="1" applyBorder="1" applyAlignment="1">
      <alignment horizontal="center"/>
    </xf>
    <xf numFmtId="0" fontId="10" fillId="3" borderId="7" xfId="0" applyFont="1" applyFill="1" applyBorder="1" applyAlignment="1">
      <alignment horizontal="center"/>
    </xf>
    <xf numFmtId="0" fontId="11" fillId="3" borderId="6" xfId="0" applyFont="1" applyFill="1" applyBorder="1" applyAlignment="1">
      <alignment horizontal="center" vertical="center"/>
    </xf>
    <xf numFmtId="0" fontId="9" fillId="3" borderId="0" xfId="0" applyFont="1" applyFill="1" applyBorder="1" applyAlignment="1">
      <alignment horizontal="center" vertical="center"/>
    </xf>
    <xf numFmtId="0" fontId="9" fillId="3" borderId="7" xfId="0" applyFont="1" applyFill="1" applyBorder="1" applyAlignment="1">
      <alignment horizontal="center" vertical="center"/>
    </xf>
    <xf numFmtId="0" fontId="8" fillId="3" borderId="6" xfId="0" applyFont="1" applyFill="1" applyBorder="1" applyAlignment="1">
      <alignment vertical="top"/>
    </xf>
    <xf numFmtId="0" fontId="8" fillId="3" borderId="0" xfId="0" applyFont="1" applyFill="1" applyBorder="1" applyAlignment="1">
      <alignment vertical="top"/>
    </xf>
    <xf numFmtId="0" fontId="8" fillId="3" borderId="7" xfId="0" applyFont="1" applyFill="1" applyBorder="1" applyAlignment="1">
      <alignment vertical="top"/>
    </xf>
    <xf numFmtId="0" fontId="8" fillId="4" borderId="8" xfId="0" applyFont="1" applyFill="1" applyBorder="1" applyAlignment="1">
      <alignment vertical="top"/>
    </xf>
    <xf numFmtId="0" fontId="8" fillId="4" borderId="9" xfId="0" applyFont="1" applyFill="1" applyBorder="1" applyAlignment="1">
      <alignment vertical="top"/>
    </xf>
    <xf numFmtId="0" fontId="8" fillId="4" borderId="10" xfId="0" applyFont="1" applyFill="1" applyBorder="1" applyAlignment="1">
      <alignment vertical="top"/>
    </xf>
    <xf numFmtId="0" fontId="4" fillId="5" borderId="6" xfId="0" applyFont="1" applyFill="1" applyBorder="1"/>
    <xf numFmtId="0" fontId="0" fillId="5" borderId="0" xfId="0" applyFill="1" applyBorder="1" applyAlignment="1">
      <alignment horizontal="right"/>
    </xf>
    <xf numFmtId="0" fontId="0" fillId="5" borderId="0" xfId="0" applyFill="1" applyBorder="1" applyAlignment="1">
      <alignment horizontal="center"/>
    </xf>
    <xf numFmtId="0" fontId="0" fillId="5" borderId="7" xfId="0" applyFill="1" applyBorder="1" applyAlignment="1">
      <alignment horizontal="center"/>
    </xf>
    <xf numFmtId="0" fontId="13" fillId="0" borderId="6" xfId="0" applyFont="1" applyBorder="1" applyAlignment="1">
      <alignment horizontal="center" vertical="center"/>
    </xf>
    <xf numFmtId="0" fontId="13" fillId="0" borderId="0" xfId="0" applyFont="1" applyBorder="1" applyAlignment="1">
      <alignment horizontal="center" vertical="center"/>
    </xf>
    <xf numFmtId="0" fontId="13" fillId="0" borderId="7" xfId="0" applyFont="1" applyBorder="1" applyAlignment="1">
      <alignment horizontal="center" vertical="center"/>
    </xf>
    <xf numFmtId="10" fontId="28" fillId="8" borderId="0" xfId="2" applyNumberFormat="1" applyFont="1" applyFill="1" applyBorder="1"/>
    <xf numFmtId="10" fontId="28" fillId="8" borderId="0" xfId="2" applyNumberFormat="1" applyFont="1" applyFill="1" applyBorder="1" applyAlignment="1">
      <alignment horizontal="center"/>
    </xf>
    <xf numFmtId="10" fontId="0" fillId="0" borderId="0" xfId="2" applyNumberFormat="1" applyFont="1" applyBorder="1"/>
    <xf numFmtId="41" fontId="0" fillId="0" borderId="0" xfId="0" applyNumberFormat="1" applyBorder="1"/>
    <xf numFmtId="188" fontId="0" fillId="0" borderId="0" xfId="0" applyNumberFormat="1" applyFill="1" applyBorder="1"/>
    <xf numFmtId="0" fontId="3" fillId="6" borderId="3" xfId="0" applyFont="1" applyFill="1" applyBorder="1" applyAlignment="1">
      <alignment horizontal="center"/>
    </xf>
    <xf numFmtId="0" fontId="3" fillId="6" borderId="4" xfId="0" applyFont="1" applyFill="1" applyBorder="1" applyAlignment="1">
      <alignment horizontal="center"/>
    </xf>
    <xf numFmtId="0" fontId="3" fillId="6" borderId="5" xfId="0" applyFont="1" applyFill="1" applyBorder="1" applyAlignment="1">
      <alignment horizontal="center"/>
    </xf>
    <xf numFmtId="42" fontId="0" fillId="5" borderId="6" xfId="0" applyNumberFormat="1" applyFill="1" applyBorder="1"/>
    <xf numFmtId="188" fontId="0" fillId="5" borderId="6" xfId="0" applyNumberFormat="1" applyFill="1" applyBorder="1"/>
    <xf numFmtId="0" fontId="0" fillId="0" borderId="6" xfId="0" applyFill="1" applyBorder="1"/>
    <xf numFmtId="41" fontId="0" fillId="0" borderId="7" xfId="0" applyNumberFormat="1" applyBorder="1"/>
    <xf numFmtId="188" fontId="0" fillId="0" borderId="9" xfId="0" applyNumberFormat="1" applyBorder="1"/>
    <xf numFmtId="188" fontId="0" fillId="0" borderId="10" xfId="0" applyNumberFormat="1" applyBorder="1"/>
    <xf numFmtId="0" fontId="3" fillId="6" borderId="3" xfId="0" applyFont="1" applyFill="1" applyBorder="1" applyAlignment="1">
      <alignment horizontal="center"/>
    </xf>
    <xf numFmtId="0" fontId="3" fillId="6" borderId="4" xfId="0" applyFont="1" applyFill="1" applyBorder="1" applyAlignment="1">
      <alignment horizontal="center"/>
    </xf>
    <xf numFmtId="0" fontId="0" fillId="5" borderId="6" xfId="0" applyFill="1" applyBorder="1"/>
    <xf numFmtId="188" fontId="0" fillId="0" borderId="6" xfId="0" applyNumberFormat="1" applyFill="1" applyBorder="1"/>
    <xf numFmtId="0" fontId="18" fillId="0" borderId="8" xfId="0" applyFont="1" applyBorder="1" applyAlignment="1">
      <alignment horizontal="center" vertical="top"/>
    </xf>
    <xf numFmtId="0" fontId="18" fillId="0" borderId="9" xfId="0" applyFont="1" applyBorder="1" applyAlignment="1">
      <alignment horizontal="center" vertical="top"/>
    </xf>
    <xf numFmtId="0" fontId="18" fillId="0" borderId="10" xfId="0" applyFont="1" applyBorder="1" applyAlignment="1">
      <alignment horizontal="center" vertical="top"/>
    </xf>
    <xf numFmtId="0" fontId="6" fillId="0" borderId="8" xfId="0" applyFont="1" applyBorder="1" applyAlignment="1">
      <alignment horizontal="left"/>
    </xf>
    <xf numFmtId="41" fontId="20" fillId="5" borderId="7" xfId="2" applyNumberFormat="1" applyFont="1" applyFill="1" applyBorder="1" applyAlignment="1">
      <alignment horizontal="right"/>
    </xf>
    <xf numFmtId="41" fontId="20" fillId="0" borderId="9" xfId="2" applyNumberFormat="1" applyFont="1" applyFill="1" applyBorder="1" applyAlignment="1">
      <alignment horizontal="right"/>
    </xf>
    <xf numFmtId="41" fontId="20" fillId="0" borderId="10" xfId="2" applyNumberFormat="1" applyFont="1" applyFill="1" applyBorder="1" applyAlignment="1">
      <alignment horizontal="right"/>
    </xf>
    <xf numFmtId="0" fontId="3" fillId="6" borderId="5" xfId="0" applyFont="1" applyFill="1" applyBorder="1" applyAlignment="1">
      <alignment horizontal="center"/>
    </xf>
    <xf numFmtId="41" fontId="20" fillId="0" borderId="7" xfId="2" applyNumberFormat="1" applyFont="1" applyFill="1" applyBorder="1" applyAlignment="1">
      <alignment horizontal="right"/>
    </xf>
    <xf numFmtId="10" fontId="26" fillId="5" borderId="7" xfId="2" applyNumberFormat="1" applyFont="1" applyFill="1" applyBorder="1" applyAlignment="1">
      <alignment horizontal="center"/>
    </xf>
    <xf numFmtId="41" fontId="26" fillId="0" borderId="7" xfId="0" applyNumberFormat="1" applyFont="1" applyBorder="1" applyAlignment="1">
      <alignment horizontal="center"/>
    </xf>
    <xf numFmtId="10" fontId="20" fillId="0" borderId="7" xfId="2" applyNumberFormat="1" applyFont="1" applyBorder="1" applyAlignment="1">
      <alignment horizontal="center"/>
    </xf>
    <xf numFmtId="10" fontId="20" fillId="5" borderId="7" xfId="2" applyNumberFormat="1" applyFont="1" applyFill="1" applyBorder="1" applyAlignment="1">
      <alignment horizontal="center"/>
    </xf>
    <xf numFmtId="41" fontId="20" fillId="5" borderId="7" xfId="2" applyNumberFormat="1" applyFont="1" applyFill="1" applyBorder="1" applyAlignment="1">
      <alignment horizontal="center"/>
    </xf>
    <xf numFmtId="41" fontId="26" fillId="0" borderId="7" xfId="0" applyNumberFormat="1" applyFont="1" applyFill="1" applyBorder="1" applyAlignment="1">
      <alignment horizontal="center"/>
    </xf>
    <xf numFmtId="41" fontId="20" fillId="5" borderId="7" xfId="0" applyNumberFormat="1" applyFont="1" applyFill="1" applyBorder="1" applyAlignment="1">
      <alignment horizontal="center"/>
    </xf>
    <xf numFmtId="10" fontId="28" fillId="8" borderId="6" xfId="2" applyNumberFormat="1" applyFont="1" applyFill="1" applyBorder="1"/>
    <xf numFmtId="10" fontId="28" fillId="8" borderId="7" xfId="2" applyNumberFormat="1" applyFont="1" applyFill="1" applyBorder="1" applyAlignment="1">
      <alignment horizontal="center"/>
    </xf>
    <xf numFmtId="0" fontId="6" fillId="0" borderId="8" xfId="0" applyFont="1" applyBorder="1"/>
    <xf numFmtId="0" fontId="6" fillId="0" borderId="9" xfId="0" applyFont="1" applyBorder="1"/>
    <xf numFmtId="0" fontId="6" fillId="0" borderId="10" xfId="0" applyFont="1" applyBorder="1"/>
    <xf numFmtId="0" fontId="4" fillId="0" borderId="7" xfId="0" applyFont="1" applyBorder="1"/>
    <xf numFmtId="42" fontId="4" fillId="5" borderId="7" xfId="0" applyNumberFormat="1" applyFont="1" applyFill="1" applyBorder="1"/>
    <xf numFmtId="42" fontId="4" fillId="0" borderId="7" xfId="0" applyNumberFormat="1" applyFont="1" applyFill="1" applyBorder="1"/>
    <xf numFmtId="41" fontId="4" fillId="0" borderId="7" xfId="0" applyNumberFormat="1" applyFont="1" applyBorder="1"/>
    <xf numFmtId="10" fontId="4" fillId="0" borderId="7" xfId="2" applyNumberFormat="1" applyFont="1" applyBorder="1"/>
    <xf numFmtId="42" fontId="4" fillId="5" borderId="0" xfId="0" applyNumberFormat="1" applyFont="1" applyFill="1" applyBorder="1"/>
    <xf numFmtId="41" fontId="4" fillId="5" borderId="0" xfId="0" applyNumberFormat="1" applyFont="1" applyFill="1" applyBorder="1"/>
    <xf numFmtId="188" fontId="4" fillId="0" borderId="0" xfId="0" applyNumberFormat="1" applyFont="1" applyBorder="1"/>
    <xf numFmtId="188" fontId="4" fillId="0" borderId="7" xfId="0" applyNumberFormat="1" applyFont="1" applyBorder="1"/>
    <xf numFmtId="42" fontId="4" fillId="5" borderId="2" xfId="4" applyNumberFormat="1" applyFill="1"/>
    <xf numFmtId="0" fontId="23" fillId="0" borderId="0" xfId="0" applyFont="1" applyBorder="1" applyAlignment="1">
      <alignment horizontal="left"/>
    </xf>
    <xf numFmtId="171" fontId="0" fillId="5" borderId="7" xfId="0" applyNumberFormat="1" applyFont="1" applyFill="1" applyBorder="1"/>
    <xf numFmtId="42" fontId="0" fillId="5" borderId="0" xfId="0" applyNumberFormat="1" applyFill="1" applyBorder="1" applyAlignment="1">
      <alignment horizontal="right"/>
    </xf>
    <xf numFmtId="42" fontId="0" fillId="5" borderId="7" xfId="0" applyNumberFormat="1" applyFill="1" applyBorder="1" applyAlignment="1">
      <alignment horizontal="right"/>
    </xf>
    <xf numFmtId="41" fontId="6" fillId="0" borderId="6" xfId="0" applyNumberFormat="1" applyFont="1" applyBorder="1" applyAlignment="1">
      <alignment horizontal="left"/>
    </xf>
    <xf numFmtId="41" fontId="0" fillId="0" borderId="0" xfId="0" applyNumberFormat="1" applyBorder="1" applyAlignment="1">
      <alignment horizontal="right"/>
    </xf>
    <xf numFmtId="41" fontId="0" fillId="0" borderId="7" xfId="0" applyNumberFormat="1" applyBorder="1" applyAlignment="1">
      <alignment horizontal="right"/>
    </xf>
    <xf numFmtId="42" fontId="6" fillId="5" borderId="6" xfId="0" applyNumberFormat="1" applyFont="1" applyFill="1" applyBorder="1" applyAlignment="1">
      <alignment horizontal="left"/>
    </xf>
    <xf numFmtId="42" fontId="4" fillId="5" borderId="0" xfId="0" applyNumberFormat="1" applyFont="1" applyFill="1" applyBorder="1" applyAlignment="1">
      <alignment horizontal="right"/>
    </xf>
    <xf numFmtId="42" fontId="4" fillId="5" borderId="7" xfId="0" applyNumberFormat="1" applyFont="1" applyFill="1" applyBorder="1" applyAlignment="1">
      <alignment horizontal="right"/>
    </xf>
    <xf numFmtId="41" fontId="6" fillId="7" borderId="6" xfId="0" applyNumberFormat="1" applyFont="1" applyFill="1" applyBorder="1" applyAlignment="1">
      <alignment horizontal="left"/>
    </xf>
    <xf numFmtId="41" fontId="0" fillId="7" borderId="0" xfId="0" applyNumberFormat="1" applyFill="1" applyBorder="1" applyAlignment="1">
      <alignment horizontal="right"/>
    </xf>
    <xf numFmtId="41" fontId="0" fillId="7" borderId="7" xfId="0" applyNumberFormat="1" applyFill="1" applyBorder="1" applyAlignment="1">
      <alignment horizontal="right"/>
    </xf>
    <xf numFmtId="41" fontId="0" fillId="5" borderId="0" xfId="0" applyNumberFormat="1" applyFill="1" applyBorder="1" applyAlignment="1">
      <alignment horizontal="right"/>
    </xf>
    <xf numFmtId="41" fontId="0" fillId="5" borderId="7" xfId="0" applyNumberFormat="1" applyFill="1" applyBorder="1" applyAlignment="1">
      <alignment horizontal="right"/>
    </xf>
    <xf numFmtId="41" fontId="0" fillId="5" borderId="6" xfId="0" applyNumberFormat="1" applyFill="1" applyBorder="1"/>
    <xf numFmtId="41" fontId="0" fillId="5" borderId="7" xfId="0" applyNumberFormat="1" applyFill="1" applyBorder="1"/>
    <xf numFmtId="41" fontId="0" fillId="0" borderId="6" xfId="0" applyNumberFormat="1" applyBorder="1"/>
    <xf numFmtId="41" fontId="0" fillId="0" borderId="6" xfId="0" applyNumberFormat="1" applyFill="1" applyBorder="1"/>
    <xf numFmtId="41" fontId="0" fillId="0" borderId="0" xfId="0" applyNumberFormat="1" applyFill="1" applyBorder="1"/>
    <xf numFmtId="41" fontId="0" fillId="0" borderId="7" xfId="0" applyNumberFormat="1" applyFill="1" applyBorder="1"/>
    <xf numFmtId="10" fontId="20" fillId="0" borderId="7" xfId="2" applyNumberFormat="1" applyFont="1" applyFill="1" applyBorder="1" applyAlignment="1">
      <alignment horizontal="right"/>
    </xf>
    <xf numFmtId="10" fontId="6" fillId="0" borderId="9" xfId="2" applyNumberFormat="1" applyFont="1" applyFill="1" applyBorder="1" applyAlignment="1">
      <alignment horizontal="right"/>
    </xf>
    <xf numFmtId="10" fontId="6" fillId="0" borderId="10" xfId="2" applyNumberFormat="1" applyFont="1" applyFill="1" applyBorder="1" applyAlignment="1">
      <alignment horizontal="right"/>
    </xf>
    <xf numFmtId="0" fontId="4" fillId="4" borderId="3" xfId="0" applyFont="1"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0" fontId="12" fillId="3" borderId="4" xfId="3" applyFont="1" applyFill="1" applyBorder="1" applyAlignment="1">
      <alignment horizontal="center" vertical="center"/>
    </xf>
    <xf numFmtId="0" fontId="12" fillId="3" borderId="5" xfId="3" applyFont="1" applyFill="1" applyBorder="1" applyAlignment="1">
      <alignment horizontal="center" vertical="center"/>
    </xf>
    <xf numFmtId="0" fontId="12" fillId="3" borderId="7" xfId="3" applyFont="1" applyFill="1" applyBorder="1" applyAlignment="1">
      <alignment horizontal="center" vertical="center"/>
    </xf>
    <xf numFmtId="0" fontId="22" fillId="0" borderId="7" xfId="0" applyFont="1" applyBorder="1" applyAlignment="1">
      <alignment horizontal="center" vertical="top"/>
    </xf>
    <xf numFmtId="0" fontId="22" fillId="0" borderId="8" xfId="0" applyFont="1" applyBorder="1" applyAlignment="1">
      <alignment horizontal="center" vertical="top"/>
    </xf>
    <xf numFmtId="0" fontId="22" fillId="0" borderId="9" xfId="0" applyFont="1" applyBorder="1" applyAlignment="1">
      <alignment horizontal="center" vertical="top"/>
    </xf>
    <xf numFmtId="0" fontId="22" fillId="0" borderId="10" xfId="0" applyFont="1" applyBorder="1" applyAlignment="1">
      <alignment horizontal="center" vertical="top"/>
    </xf>
    <xf numFmtId="43" fontId="19" fillId="0" borderId="6" xfId="1" applyFont="1" applyBorder="1" applyAlignment="1">
      <alignment vertical="top"/>
    </xf>
    <xf numFmtId="43" fontId="19" fillId="0" borderId="0" xfId="1" applyFont="1" applyBorder="1" applyAlignment="1">
      <alignment vertical="top"/>
    </xf>
    <xf numFmtId="43" fontId="19" fillId="0" borderId="7" xfId="1" applyFont="1" applyBorder="1" applyAlignment="1">
      <alignment vertical="top"/>
    </xf>
    <xf numFmtId="43" fontId="6" fillId="5" borderId="6" xfId="1" applyFont="1" applyFill="1" applyBorder="1"/>
    <xf numFmtId="164" fontId="6" fillId="5" borderId="0" xfId="1" applyNumberFormat="1" applyFont="1" applyFill="1" applyBorder="1" applyAlignment="1">
      <alignment horizontal="right"/>
    </xf>
    <xf numFmtId="164" fontId="6" fillId="5" borderId="7" xfId="1" applyNumberFormat="1" applyFont="1" applyFill="1" applyBorder="1" applyAlignment="1">
      <alignment horizontal="right"/>
    </xf>
    <xf numFmtId="43" fontId="6" fillId="0" borderId="6" xfId="1" applyFont="1" applyBorder="1" applyAlignment="1">
      <alignment horizontal="left"/>
    </xf>
    <xf numFmtId="164" fontId="6" fillId="0" borderId="0" xfId="1" applyNumberFormat="1" applyFont="1" applyBorder="1" applyAlignment="1">
      <alignment horizontal="right"/>
    </xf>
    <xf numFmtId="164" fontId="6" fillId="0" borderId="7" xfId="1" applyNumberFormat="1" applyFont="1" applyBorder="1" applyAlignment="1">
      <alignment horizontal="right"/>
    </xf>
    <xf numFmtId="43" fontId="6" fillId="5" borderId="6" xfId="1" applyFont="1" applyFill="1" applyBorder="1" applyAlignment="1">
      <alignment horizontal="left"/>
    </xf>
    <xf numFmtId="43" fontId="6" fillId="7" borderId="6" xfId="1" applyFont="1" applyFill="1" applyBorder="1" applyAlignment="1">
      <alignment horizontal="left"/>
    </xf>
    <xf numFmtId="164" fontId="6" fillId="7" borderId="0" xfId="1" applyNumberFormat="1" applyFont="1" applyFill="1" applyBorder="1" applyAlignment="1">
      <alignment horizontal="right"/>
    </xf>
    <xf numFmtId="164" fontId="6" fillId="7" borderId="7" xfId="1" applyNumberFormat="1" applyFont="1" applyFill="1" applyBorder="1" applyAlignment="1">
      <alignment horizontal="right"/>
    </xf>
    <xf numFmtId="10" fontId="20" fillId="5" borderId="6" xfId="2" applyNumberFormat="1" applyFont="1" applyFill="1" applyBorder="1" applyAlignment="1">
      <alignment horizontal="left"/>
    </xf>
    <xf numFmtId="10" fontId="20" fillId="0" borderId="6" xfId="2" applyNumberFormat="1" applyFont="1" applyFill="1" applyBorder="1" applyAlignment="1">
      <alignment horizontal="left"/>
    </xf>
    <xf numFmtId="10" fontId="20" fillId="0" borderId="0" xfId="2" applyNumberFormat="1" applyFont="1" applyFill="1" applyBorder="1" applyAlignment="1">
      <alignment horizontal="right"/>
    </xf>
    <xf numFmtId="10" fontId="20" fillId="5" borderId="6" xfId="2" applyNumberFormat="1" applyFont="1" applyFill="1" applyBorder="1" applyAlignment="1"/>
    <xf numFmtId="10" fontId="20" fillId="5" borderId="0" xfId="2" applyNumberFormat="1" applyFont="1" applyFill="1" applyBorder="1" applyAlignment="1"/>
    <xf numFmtId="10" fontId="20" fillId="5" borderId="7" xfId="2" applyNumberFormat="1" applyFont="1" applyFill="1" applyBorder="1" applyAlignment="1"/>
    <xf numFmtId="10" fontId="6" fillId="0" borderId="6" xfId="2" applyNumberFormat="1" applyFont="1" applyFill="1" applyBorder="1"/>
    <xf numFmtId="164" fontId="6" fillId="0" borderId="0" xfId="1" applyNumberFormat="1" applyFont="1" applyFill="1" applyBorder="1"/>
    <xf numFmtId="164" fontId="6" fillId="0" borderId="7" xfId="1" applyNumberFormat="1" applyFont="1" applyFill="1" applyBorder="1"/>
    <xf numFmtId="10" fontId="20" fillId="5" borderId="6" xfId="2" applyNumberFormat="1" applyFont="1" applyFill="1" applyBorder="1"/>
    <xf numFmtId="10" fontId="20" fillId="5" borderId="7" xfId="2" applyNumberFormat="1" applyFont="1" applyFill="1" applyBorder="1"/>
    <xf numFmtId="9" fontId="6" fillId="7" borderId="6" xfId="2" applyFont="1" applyFill="1" applyBorder="1"/>
    <xf numFmtId="164" fontId="6" fillId="7" borderId="0" xfId="1" applyNumberFormat="1" applyFont="1" applyFill="1" applyBorder="1"/>
    <xf numFmtId="164" fontId="6" fillId="7" borderId="7" xfId="1" applyNumberFormat="1" applyFont="1" applyFill="1" applyBorder="1"/>
    <xf numFmtId="0" fontId="6" fillId="7" borderId="8" xfId="0" applyFont="1" applyFill="1" applyBorder="1"/>
    <xf numFmtId="0" fontId="6" fillId="7" borderId="9" xfId="0" applyFont="1" applyFill="1" applyBorder="1"/>
    <xf numFmtId="0" fontId="6" fillId="7" borderId="10" xfId="0" applyFont="1" applyFill="1" applyBorder="1"/>
    <xf numFmtId="0" fontId="6" fillId="0" borderId="0" xfId="0" applyFont="1" applyFill="1" applyBorder="1" applyAlignment="1">
      <alignment horizontal="center"/>
    </xf>
    <xf numFmtId="0" fontId="6" fillId="5" borderId="0" xfId="0" applyFont="1" applyFill="1" applyBorder="1" applyAlignment="1">
      <alignment horizontal="center"/>
    </xf>
    <xf numFmtId="10" fontId="28" fillId="8" borderId="3" xfId="2" applyNumberFormat="1" applyFont="1" applyFill="1" applyBorder="1" applyAlignment="1">
      <alignment horizontal="center"/>
    </xf>
    <xf numFmtId="10" fontId="28" fillId="8" borderId="4" xfId="2" applyNumberFormat="1" applyFont="1" applyFill="1" applyBorder="1" applyAlignment="1">
      <alignment horizontal="center"/>
    </xf>
    <xf numFmtId="10" fontId="28" fillId="8" borderId="5" xfId="2" applyNumberFormat="1" applyFont="1" applyFill="1" applyBorder="1"/>
    <xf numFmtId="0" fontId="6" fillId="5" borderId="6" xfId="0" applyFont="1" applyFill="1" applyBorder="1" applyAlignment="1">
      <alignment horizontal="center"/>
    </xf>
    <xf numFmtId="0" fontId="6" fillId="0" borderId="6" xfId="0" applyFont="1" applyFill="1" applyBorder="1" applyAlignment="1">
      <alignment horizontal="center"/>
    </xf>
    <xf numFmtId="0" fontId="6" fillId="0" borderId="8" xfId="0" applyFont="1" applyFill="1" applyBorder="1" applyAlignment="1">
      <alignment horizontal="center"/>
    </xf>
    <xf numFmtId="0" fontId="6" fillId="0" borderId="9" xfId="0" applyFont="1" applyFill="1" applyBorder="1" applyAlignment="1">
      <alignment horizontal="center"/>
    </xf>
    <xf numFmtId="0" fontId="3" fillId="9" borderId="0" xfId="0" applyFont="1" applyFill="1" applyBorder="1"/>
    <xf numFmtId="165" fontId="3" fillId="9" borderId="0" xfId="2" applyNumberFormat="1" applyFont="1" applyFill="1" applyBorder="1"/>
    <xf numFmtId="0" fontId="22" fillId="0" borderId="0" xfId="0" applyFont="1" applyBorder="1" applyAlignment="1">
      <alignment horizontal="center" vertical="center"/>
    </xf>
    <xf numFmtId="0" fontId="22" fillId="0" borderId="6" xfId="0" applyFont="1" applyBorder="1" applyAlignment="1">
      <alignment horizontal="center" vertical="center"/>
    </xf>
    <xf numFmtId="0" fontId="22" fillId="0" borderId="7" xfId="0" applyFont="1" applyBorder="1" applyAlignment="1">
      <alignment horizontal="center" vertical="center"/>
    </xf>
    <xf numFmtId="0" fontId="22" fillId="0" borderId="8" xfId="0" applyFont="1" applyBorder="1" applyAlignment="1">
      <alignment horizontal="center" vertical="center"/>
    </xf>
    <xf numFmtId="0" fontId="22" fillId="0" borderId="9" xfId="0" applyFont="1" applyBorder="1" applyAlignment="1">
      <alignment horizontal="center" vertical="center"/>
    </xf>
    <xf numFmtId="0" fontId="22" fillId="0" borderId="10" xfId="0" applyFont="1" applyBorder="1" applyAlignment="1">
      <alignment horizontal="center" vertical="center"/>
    </xf>
    <xf numFmtId="0" fontId="4" fillId="5" borderId="3" xfId="0" applyFont="1" applyFill="1" applyBorder="1" applyAlignment="1">
      <alignment horizontal="center" vertical="top"/>
    </xf>
    <xf numFmtId="0" fontId="4" fillId="5" borderId="4" xfId="0" applyFont="1" applyFill="1" applyBorder="1" applyAlignment="1">
      <alignment horizontal="center" vertical="top"/>
    </xf>
    <xf numFmtId="0" fontId="4" fillId="5" borderId="5" xfId="0" applyFont="1" applyFill="1" applyBorder="1" applyAlignment="1">
      <alignment horizontal="center" vertical="top"/>
    </xf>
    <xf numFmtId="0" fontId="4" fillId="5" borderId="6" xfId="0" applyFont="1" applyFill="1" applyBorder="1" applyAlignment="1">
      <alignment horizontal="center" vertical="center" textRotation="90"/>
    </xf>
    <xf numFmtId="10" fontId="3" fillId="6" borderId="7" xfId="2" applyNumberFormat="1" applyFont="1" applyFill="1" applyBorder="1" applyAlignment="1">
      <alignment horizontal="center"/>
    </xf>
    <xf numFmtId="43" fontId="19" fillId="0" borderId="7" xfId="0" applyNumberFormat="1" applyFont="1" applyBorder="1" applyAlignment="1">
      <alignment vertical="top"/>
    </xf>
    <xf numFmtId="0" fontId="4" fillId="5" borderId="8" xfId="0" applyFont="1" applyFill="1" applyBorder="1" applyAlignment="1">
      <alignment horizontal="center" vertical="center" textRotation="90"/>
    </xf>
    <xf numFmtId="165" fontId="3" fillId="9" borderId="9" xfId="2" applyNumberFormat="1" applyFont="1" applyFill="1" applyBorder="1"/>
    <xf numFmtId="43" fontId="19" fillId="0" borderId="9" xfId="0" applyNumberFormat="1" applyFont="1" applyBorder="1" applyAlignment="1">
      <alignment vertical="top"/>
    </xf>
    <xf numFmtId="43" fontId="19" fillId="0" borderId="10" xfId="0" applyNumberFormat="1" applyFont="1" applyBorder="1" applyAlignment="1">
      <alignment vertical="top"/>
    </xf>
    <xf numFmtId="41" fontId="20" fillId="5" borderId="7" xfId="0" applyNumberFormat="1" applyFont="1" applyFill="1" applyBorder="1"/>
    <xf numFmtId="0" fontId="20" fillId="0" borderId="7" xfId="0" applyFont="1" applyBorder="1"/>
    <xf numFmtId="0" fontId="0" fillId="0" borderId="4" xfId="0" applyBorder="1" applyAlignment="1">
      <alignment horizontal="center"/>
    </xf>
    <xf numFmtId="0" fontId="0" fillId="0" borderId="5" xfId="0" applyBorder="1" applyAlignment="1">
      <alignment horizontal="center"/>
    </xf>
    <xf numFmtId="0" fontId="21" fillId="0" borderId="8" xfId="0" applyFont="1" applyBorder="1" applyAlignment="1">
      <alignment horizontal="left"/>
    </xf>
    <xf numFmtId="0" fontId="21" fillId="0" borderId="9" xfId="0" applyFont="1" applyBorder="1" applyAlignment="1">
      <alignment horizontal="left"/>
    </xf>
    <xf numFmtId="3" fontId="24" fillId="0" borderId="6" xfId="0" applyNumberFormat="1" applyFont="1" applyBorder="1" applyAlignment="1">
      <alignment horizontal="center" vertical="center"/>
    </xf>
    <xf numFmtId="3" fontId="24" fillId="0" borderId="0" xfId="0" applyNumberFormat="1" applyFont="1" applyBorder="1" applyAlignment="1">
      <alignment horizontal="center" vertical="center"/>
    </xf>
    <xf numFmtId="10" fontId="24" fillId="0" borderId="0" xfId="2" applyNumberFormat="1" applyFont="1" applyBorder="1" applyAlignment="1">
      <alignment horizontal="center" vertical="center"/>
    </xf>
    <xf numFmtId="10" fontId="24" fillId="0" borderId="7" xfId="2" applyNumberFormat="1" applyFont="1" applyBorder="1" applyAlignment="1">
      <alignment horizontal="center" vertical="center"/>
    </xf>
    <xf numFmtId="0" fontId="24" fillId="0" borderId="6" xfId="0" applyFont="1" applyBorder="1" applyAlignment="1">
      <alignment horizontal="center" vertical="center"/>
    </xf>
    <xf numFmtId="0" fontId="24" fillId="0" borderId="0" xfId="0" applyFont="1" applyBorder="1" applyAlignment="1">
      <alignment horizontal="center" vertical="center"/>
    </xf>
    <xf numFmtId="0" fontId="24" fillId="0" borderId="8" xfId="0" applyFont="1" applyBorder="1" applyAlignment="1">
      <alignment horizontal="center" vertical="center"/>
    </xf>
    <xf numFmtId="0" fontId="24" fillId="0" borderId="9" xfId="0" applyFont="1" applyBorder="1" applyAlignment="1">
      <alignment horizontal="center" vertical="center"/>
    </xf>
    <xf numFmtId="10" fontId="24" fillId="0" borderId="9" xfId="2" applyNumberFormat="1" applyFont="1" applyBorder="1" applyAlignment="1">
      <alignment horizontal="center" vertical="center"/>
    </xf>
    <xf numFmtId="10" fontId="24" fillId="0" borderId="10" xfId="2" applyNumberFormat="1" applyFont="1" applyBorder="1" applyAlignment="1">
      <alignment horizontal="center" vertical="center"/>
    </xf>
    <xf numFmtId="2" fontId="4" fillId="0" borderId="7" xfId="0" applyNumberFormat="1" applyFont="1" applyBorder="1"/>
    <xf numFmtId="4" fontId="24" fillId="0" borderId="6" xfId="0" applyNumberFormat="1" applyFont="1" applyBorder="1" applyAlignment="1">
      <alignment horizontal="center" vertical="center"/>
    </xf>
    <xf numFmtId="4" fontId="24" fillId="0" borderId="8" xfId="0" applyNumberFormat="1" applyFont="1" applyBorder="1" applyAlignment="1">
      <alignment horizontal="center" vertical="center"/>
    </xf>
    <xf numFmtId="4" fontId="24" fillId="0" borderId="0" xfId="0" applyNumberFormat="1" applyFont="1" applyBorder="1" applyAlignment="1">
      <alignment horizontal="center" vertical="center"/>
    </xf>
    <xf numFmtId="4" fontId="24" fillId="0" borderId="9" xfId="0" applyNumberFormat="1" applyFont="1" applyBorder="1" applyAlignment="1">
      <alignment horizontal="center" vertical="center"/>
    </xf>
  </cellXfs>
  <cellStyles count="5">
    <cellStyle name="Comma" xfId="1" builtinId="3"/>
    <cellStyle name="Normal" xfId="0" builtinId="0"/>
    <cellStyle name="Output" xfId="3" builtinId="21"/>
    <cellStyle name="Percent" xfId="2" builtinId="5"/>
    <cellStyle name="Total" xfId="4" builtinId="25"/>
  </cellStyles>
  <dxfs count="0"/>
  <tableStyles count="0" defaultTableStyle="TableStyleMedium2" defaultPivotStyle="PivotStyleLight16"/>
  <colors>
    <mruColors>
      <color rgb="FFF1ED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Revenue ($mm)</a:t>
            </a:r>
          </a:p>
        </c:rich>
      </c:tx>
      <c:overlay val="0"/>
      <c:spPr>
        <a:noFill/>
        <a:ln w="0">
          <a:noFill/>
        </a:ln>
      </c:spPr>
    </c:title>
    <c:autoTitleDeleted val="0"/>
    <c:plotArea>
      <c:layout/>
      <c:barChart>
        <c:barDir val="col"/>
        <c:grouping val="clustered"/>
        <c:varyColors val="0"/>
        <c:ser>
          <c:idx val="0"/>
          <c:order val="0"/>
          <c:tx>
            <c:strRef>
              <c:f>[1]Dashboard!$O$30</c:f>
              <c:strCache>
                <c:ptCount val="1"/>
                <c:pt idx="0">
                  <c:v>Revenue</c:v>
                </c:pt>
              </c:strCache>
            </c:strRef>
          </c:tx>
          <c:spPr>
            <a:solidFill>
              <a:srgbClr val="0071CE"/>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[1]Dashboard!$N$31:$N$36</c:f>
              <c:strCache>
                <c:ptCount val="6"/>
                <c:pt idx="0">
                  <c:v>FY2020</c:v>
                </c:pt>
                <c:pt idx="1">
                  <c:v>FY2021</c:v>
                </c:pt>
                <c:pt idx="2">
                  <c:v>FY2022</c:v>
                </c:pt>
                <c:pt idx="3">
                  <c:v>FY2023</c:v>
                </c:pt>
                <c:pt idx="4">
                  <c:v>FY2024</c:v>
                </c:pt>
                <c:pt idx="5">
                  <c:v>FY2025</c:v>
                </c:pt>
              </c:strCache>
            </c:strRef>
          </c:cat>
          <c:val>
            <c:numRef>
              <c:f>[1]Dashboard!$O$31:$O$36</c:f>
              <c:numCache>
                <c:formatCode>General</c:formatCode>
                <c:ptCount val="6"/>
                <c:pt idx="0">
                  <c:v>523964</c:v>
                </c:pt>
                <c:pt idx="1">
                  <c:v>559151</c:v>
                </c:pt>
                <c:pt idx="2">
                  <c:v>572754</c:v>
                </c:pt>
                <c:pt idx="3">
                  <c:v>611289</c:v>
                </c:pt>
                <c:pt idx="4">
                  <c:v>648125</c:v>
                </c:pt>
                <c:pt idx="5">
                  <c:v>680985</c:v>
                </c:pt>
              </c:numCache>
            </c:numRef>
          </c:val>
          <c:extLst>
            <c:ext xmlns:c16="http://schemas.microsoft.com/office/drawing/2014/chart" uri="{C3380CC4-5D6E-409C-BE32-E72D297353CC}">
              <c16:uniqueId val="{00000000-716F-406F-85C2-A9518526159C}"/>
            </c:ext>
          </c:extLst>
        </c:ser>
        <c:dLbls>
          <c:showLegendKey val="0"/>
          <c:showVal val="0"/>
          <c:showCatName val="0"/>
          <c:showSerName val="0"/>
          <c:showPercent val="0"/>
          <c:showBubbleSize val="0"/>
        </c:dLbls>
        <c:gapWidth val="150"/>
        <c:axId val="54985289"/>
        <c:axId val="77886347"/>
      </c:barChart>
      <c:catAx>
        <c:axId val="54985289"/>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7886347"/>
        <c:crosses val="autoZero"/>
        <c:auto val="1"/>
        <c:lblAlgn val="ctr"/>
        <c:lblOffset val="100"/>
        <c:noMultiLvlLbl val="0"/>
      </c:catAx>
      <c:valAx>
        <c:axId val="7788634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USD mm</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498528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Net Income ($mm)</a:t>
            </a:r>
          </a:p>
        </c:rich>
      </c:tx>
      <c:overlay val="0"/>
      <c:spPr>
        <a:noFill/>
        <a:ln w="0">
          <a:noFill/>
        </a:ln>
      </c:spPr>
    </c:title>
    <c:autoTitleDeleted val="0"/>
    <c:plotArea>
      <c:layout/>
      <c:barChart>
        <c:barDir val="col"/>
        <c:grouping val="clustered"/>
        <c:varyColors val="0"/>
        <c:ser>
          <c:idx val="0"/>
          <c:order val="0"/>
          <c:tx>
            <c:strRef>
              <c:f>[1]Dashboard!$P$30</c:f>
              <c:strCache>
                <c:ptCount val="1"/>
                <c:pt idx="0">
                  <c:v>Net Income</c:v>
                </c:pt>
              </c:strCache>
            </c:strRef>
          </c:tx>
          <c:spPr>
            <a:solidFill>
              <a:srgbClr val="FFC220"/>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[1]Dashboard!$N$31:$N$36</c:f>
              <c:strCache>
                <c:ptCount val="6"/>
                <c:pt idx="0">
                  <c:v>FY2020</c:v>
                </c:pt>
                <c:pt idx="1">
                  <c:v>FY2021</c:v>
                </c:pt>
                <c:pt idx="2">
                  <c:v>FY2022</c:v>
                </c:pt>
                <c:pt idx="3">
                  <c:v>FY2023</c:v>
                </c:pt>
                <c:pt idx="4">
                  <c:v>FY2024</c:v>
                </c:pt>
                <c:pt idx="5">
                  <c:v>FY2025</c:v>
                </c:pt>
              </c:strCache>
            </c:strRef>
          </c:cat>
          <c:val>
            <c:numRef>
              <c:f>[1]Dashboard!$P$31:$P$36</c:f>
              <c:numCache>
                <c:formatCode>General</c:formatCode>
                <c:ptCount val="6"/>
                <c:pt idx="0">
                  <c:v>15201</c:v>
                </c:pt>
                <c:pt idx="1">
                  <c:v>13706</c:v>
                </c:pt>
                <c:pt idx="2">
                  <c:v>13940</c:v>
                </c:pt>
                <c:pt idx="3">
                  <c:v>11292</c:v>
                </c:pt>
                <c:pt idx="4">
                  <c:v>16270</c:v>
                </c:pt>
                <c:pt idx="5">
                  <c:v>20157</c:v>
                </c:pt>
              </c:numCache>
            </c:numRef>
          </c:val>
          <c:extLst>
            <c:ext xmlns:c16="http://schemas.microsoft.com/office/drawing/2014/chart" uri="{C3380CC4-5D6E-409C-BE32-E72D297353CC}">
              <c16:uniqueId val="{00000000-6D6D-4D36-A277-02A7EEEC9C3C}"/>
            </c:ext>
          </c:extLst>
        </c:ser>
        <c:dLbls>
          <c:showLegendKey val="0"/>
          <c:showVal val="0"/>
          <c:showCatName val="0"/>
          <c:showSerName val="0"/>
          <c:showPercent val="0"/>
          <c:showBubbleSize val="0"/>
        </c:dLbls>
        <c:gapWidth val="150"/>
        <c:axId val="60061378"/>
        <c:axId val="51055973"/>
      </c:barChart>
      <c:catAx>
        <c:axId val="60061378"/>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1055973"/>
        <c:crosses val="autoZero"/>
        <c:auto val="1"/>
        <c:lblAlgn val="ctr"/>
        <c:lblOffset val="100"/>
        <c:noMultiLvlLbl val="0"/>
      </c:catAx>
      <c:valAx>
        <c:axId val="5105597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USD mm</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006137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Profitability Margins (%)</a:t>
            </a:r>
          </a:p>
        </c:rich>
      </c:tx>
      <c:overlay val="0"/>
      <c:spPr>
        <a:noFill/>
        <a:ln w="0">
          <a:noFill/>
        </a:ln>
      </c:spPr>
    </c:title>
    <c:autoTitleDeleted val="0"/>
    <c:plotArea>
      <c:layout/>
      <c:lineChart>
        <c:grouping val="standard"/>
        <c:varyColors val="0"/>
        <c:ser>
          <c:idx val="0"/>
          <c:order val="0"/>
          <c:tx>
            <c:strRef>
              <c:f>[1]Dashboard!$Q$30</c:f>
              <c:strCache>
                <c:ptCount val="1"/>
                <c:pt idx="0">
                  <c:v>Op Margin</c:v>
                </c:pt>
              </c:strCache>
            </c:strRef>
          </c:tx>
          <c:spPr>
            <a:ln w="47520">
              <a:solidFill>
                <a:srgbClr val="0071CE"/>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[1]Dashboard!$N$31:$N$36</c:f>
              <c:strCache>
                <c:ptCount val="6"/>
                <c:pt idx="0">
                  <c:v>FY2020</c:v>
                </c:pt>
                <c:pt idx="1">
                  <c:v>FY2021</c:v>
                </c:pt>
                <c:pt idx="2">
                  <c:v>FY2022</c:v>
                </c:pt>
                <c:pt idx="3">
                  <c:v>FY2023</c:v>
                </c:pt>
                <c:pt idx="4">
                  <c:v>FY2024</c:v>
                </c:pt>
                <c:pt idx="5">
                  <c:v>FY2025</c:v>
                </c:pt>
              </c:strCache>
            </c:strRef>
          </c:cat>
          <c:val>
            <c:numRef>
              <c:f>[1]Dashboard!$Q$31:$Q$36</c:f>
              <c:numCache>
                <c:formatCode>General</c:formatCode>
                <c:ptCount val="6"/>
                <c:pt idx="0">
                  <c:v>3.9254605278225198E-2</c:v>
                </c:pt>
                <c:pt idx="1">
                  <c:v>4.0325421934325402E-2</c:v>
                </c:pt>
                <c:pt idx="2">
                  <c:v>4.5293441861602002E-2</c:v>
                </c:pt>
                <c:pt idx="3">
                  <c:v>3.3417908714208799E-2</c:v>
                </c:pt>
                <c:pt idx="4">
                  <c:v>4.16771456123433E-2</c:v>
                </c:pt>
                <c:pt idx="5">
                  <c:v>4.3096397130626997E-2</c:v>
                </c:pt>
              </c:numCache>
            </c:numRef>
          </c:val>
          <c:smooth val="1"/>
          <c:extLst>
            <c:ext xmlns:c16="http://schemas.microsoft.com/office/drawing/2014/chart" uri="{C3380CC4-5D6E-409C-BE32-E72D297353CC}">
              <c16:uniqueId val="{00000000-849B-4492-8E77-C73905A4BB51}"/>
            </c:ext>
          </c:extLst>
        </c:ser>
        <c:ser>
          <c:idx val="1"/>
          <c:order val="1"/>
          <c:tx>
            <c:strRef>
              <c:f>[1]Dashboard!$R$30</c:f>
              <c:strCache>
                <c:ptCount val="1"/>
                <c:pt idx="0">
                  <c:v>Net Margin</c:v>
                </c:pt>
              </c:strCache>
            </c:strRef>
          </c:tx>
          <c:spPr>
            <a:ln w="47520">
              <a:solidFill>
                <a:srgbClr val="FFC22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[1]Dashboard!$N$31:$N$36</c:f>
              <c:strCache>
                <c:ptCount val="6"/>
                <c:pt idx="0">
                  <c:v>FY2020</c:v>
                </c:pt>
                <c:pt idx="1">
                  <c:v>FY2021</c:v>
                </c:pt>
                <c:pt idx="2">
                  <c:v>FY2022</c:v>
                </c:pt>
                <c:pt idx="3">
                  <c:v>FY2023</c:v>
                </c:pt>
                <c:pt idx="4">
                  <c:v>FY2024</c:v>
                </c:pt>
                <c:pt idx="5">
                  <c:v>FY2025</c:v>
                </c:pt>
              </c:strCache>
            </c:strRef>
          </c:cat>
          <c:val>
            <c:numRef>
              <c:f>[1]Dashboard!$R$31:$R$36</c:f>
              <c:numCache>
                <c:formatCode>General</c:formatCode>
                <c:ptCount val="6"/>
                <c:pt idx="0">
                  <c:v>2.9011535143635799E-2</c:v>
                </c:pt>
                <c:pt idx="1">
                  <c:v>2.4512162188746901E-2</c:v>
                </c:pt>
                <c:pt idx="2">
                  <c:v>2.4338546740834601E-2</c:v>
                </c:pt>
                <c:pt idx="3">
                  <c:v>1.8472441022167899E-2</c:v>
                </c:pt>
                <c:pt idx="4">
                  <c:v>2.5103182256509201E-2</c:v>
                </c:pt>
                <c:pt idx="5">
                  <c:v>2.95997709200643E-2</c:v>
                </c:pt>
              </c:numCache>
            </c:numRef>
          </c:val>
          <c:smooth val="1"/>
          <c:extLst>
            <c:ext xmlns:c16="http://schemas.microsoft.com/office/drawing/2014/chart" uri="{C3380CC4-5D6E-409C-BE32-E72D297353CC}">
              <c16:uniqueId val="{00000001-849B-4492-8E77-C73905A4BB51}"/>
            </c:ext>
          </c:extLst>
        </c:ser>
        <c:dLbls>
          <c:showLegendKey val="0"/>
          <c:showVal val="0"/>
          <c:showCatName val="0"/>
          <c:showSerName val="0"/>
          <c:showPercent val="0"/>
          <c:showBubbleSize val="0"/>
        </c:dLbls>
        <c:hiLowLines>
          <c:spPr>
            <a:ln w="0">
              <a:noFill/>
            </a:ln>
          </c:spPr>
        </c:hiLowLines>
        <c:smooth val="0"/>
        <c:axId val="45568406"/>
        <c:axId val="64002472"/>
      </c:lineChart>
      <c:catAx>
        <c:axId val="45568406"/>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4002472"/>
        <c:crosses val="autoZero"/>
        <c:auto val="1"/>
        <c:lblAlgn val="ctr"/>
        <c:lblOffset val="100"/>
        <c:noMultiLvlLbl val="0"/>
      </c:catAx>
      <c:valAx>
        <c:axId val="6400247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Margin</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556840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'Ratios &amp; Calculations'!$B$27</c:f>
              <c:strCache>
                <c:ptCount val="1"/>
                <c:pt idx="0">
                  <c:v> Free Cash Flow </c:v>
                </c:pt>
              </c:strCache>
            </c:strRef>
          </c:tx>
          <c:spPr>
            <a:solidFill>
              <a:schemeClr val="accent1"/>
            </a:solidFill>
            <a:ln>
              <a:noFill/>
            </a:ln>
            <a:effectLst/>
          </c:spPr>
          <c:invertIfNegative val="0"/>
          <c:val>
            <c:numRef>
              <c:f>'Ratios &amp; Calculations'!$C$27:$H$27</c:f>
              <c:numCache>
                <c:formatCode>_(* #,##0_);_(* \(#,##0\);_(* "-"_);_(@_)</c:formatCode>
                <c:ptCount val="6"/>
                <c:pt idx="0" formatCode="_(&quot;$&quot;* #,##0_);_(&quot;$&quot;* \(#,##0\);_(&quot;$&quot;* &quot;-&quot;_);_(@_)">
                  <c:v>14550</c:v>
                </c:pt>
                <c:pt idx="1">
                  <c:v>25810</c:v>
                </c:pt>
                <c:pt idx="2">
                  <c:v>11075</c:v>
                </c:pt>
                <c:pt idx="3">
                  <c:v>11984</c:v>
                </c:pt>
                <c:pt idx="4">
                  <c:v>15120</c:v>
                </c:pt>
                <c:pt idx="5">
                  <c:v>12660</c:v>
                </c:pt>
              </c:numCache>
            </c:numRef>
          </c:val>
          <c:extLst>
            <c:ext xmlns:c16="http://schemas.microsoft.com/office/drawing/2014/chart" uri="{C3380CC4-5D6E-409C-BE32-E72D297353CC}">
              <c16:uniqueId val="{00000000-7212-4AC2-969B-FB0C3251BB75}"/>
            </c:ext>
          </c:extLst>
        </c:ser>
        <c:dLbls>
          <c:showLegendKey val="0"/>
          <c:showVal val="0"/>
          <c:showCatName val="0"/>
          <c:showSerName val="0"/>
          <c:showPercent val="0"/>
          <c:showBubbleSize val="0"/>
        </c:dLbls>
        <c:gapWidth val="182"/>
        <c:axId val="1992643808"/>
        <c:axId val="1992644288"/>
      </c:barChart>
      <c:catAx>
        <c:axId val="1992643808"/>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644288"/>
        <c:crosses val="autoZero"/>
        <c:auto val="1"/>
        <c:lblAlgn val="ctr"/>
        <c:lblOffset val="100"/>
        <c:noMultiLvlLbl val="0"/>
      </c:catAx>
      <c:valAx>
        <c:axId val="1992644288"/>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64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10764</xdr:colOff>
      <xdr:row>14</xdr:row>
      <xdr:rowOff>162128</xdr:rowOff>
    </xdr:from>
    <xdr:to>
      <xdr:col>7</xdr:col>
      <xdr:colOff>869345</xdr:colOff>
      <xdr:row>18</xdr:row>
      <xdr:rowOff>173870</xdr:rowOff>
    </xdr:to>
    <xdr:sp macro="" textlink="">
      <xdr:nvSpPr>
        <xdr:cNvPr id="2" name="TextBox 1">
          <a:extLst>
            <a:ext uri="{FF2B5EF4-FFF2-40B4-BE49-F238E27FC236}">
              <a16:creationId xmlns:a16="http://schemas.microsoft.com/office/drawing/2014/main" id="{EA74A3CC-C393-7B02-FB54-EC4F716FD9F6}"/>
            </a:ext>
          </a:extLst>
        </xdr:cNvPr>
        <xdr:cNvSpPr txBox="1"/>
      </xdr:nvSpPr>
      <xdr:spPr>
        <a:xfrm>
          <a:off x="618743" y="2715639"/>
          <a:ext cx="7073474" cy="741316"/>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i="1"/>
            <a:t>Operating income dropped sharply in 2023 (-21.3%), because of elevated supply chain costs and margin compression due to inflation. However, in 2024 and 2025 there were strong rebounds, shown by the 5-year CAGR for operating income outpacing the revenue, indicating improving operational effiency.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13510</xdr:colOff>
      <xdr:row>22</xdr:row>
      <xdr:rowOff>8247</xdr:rowOff>
    </xdr:from>
    <xdr:to>
      <xdr:col>4</xdr:col>
      <xdr:colOff>1426687</xdr:colOff>
      <xdr:row>25</xdr:row>
      <xdr:rowOff>173182</xdr:rowOff>
    </xdr:to>
    <xdr:sp macro="" textlink="">
      <xdr:nvSpPr>
        <xdr:cNvPr id="3" name="TextBox 2">
          <a:extLst>
            <a:ext uri="{FF2B5EF4-FFF2-40B4-BE49-F238E27FC236}">
              <a16:creationId xmlns:a16="http://schemas.microsoft.com/office/drawing/2014/main" id="{4525E7D0-617A-9FDA-66A4-FB71F412D2BA}"/>
            </a:ext>
          </a:extLst>
        </xdr:cNvPr>
        <xdr:cNvSpPr txBox="1"/>
      </xdr:nvSpPr>
      <xdr:spPr>
        <a:xfrm>
          <a:off x="621489" y="4070446"/>
          <a:ext cx="6087858" cy="718871"/>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i="1">
              <a:solidFill>
                <a:schemeClr val="tx1"/>
              </a:solidFill>
            </a:rPr>
            <a:t>Walmart leads</a:t>
          </a:r>
          <a:r>
            <a:rPr lang="en-US" sz="1200" i="1" baseline="0">
              <a:solidFill>
                <a:schemeClr val="tx1"/>
              </a:solidFill>
            </a:rPr>
            <a:t> peers by a significant margin. Target faces margin pressure because of its heavy product mix. Lastly, Kroger's earnings are distorted due to a one-time impairment charge, as their underlying performance is consistent with prior years.</a:t>
          </a:r>
          <a:endParaRPr lang="en-US" sz="1200" i="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xdr:row>
      <xdr:rowOff>12700</xdr:rowOff>
    </xdr:from>
    <xdr:to>
      <xdr:col>1</xdr:col>
      <xdr:colOff>4572000</xdr:colOff>
      <xdr:row>8</xdr:row>
      <xdr:rowOff>50800</xdr:rowOff>
    </xdr:to>
    <xdr:sp macro="" textlink="">
      <xdr:nvSpPr>
        <xdr:cNvPr id="2" name="TextBox 1">
          <a:extLst>
            <a:ext uri="{FF2B5EF4-FFF2-40B4-BE49-F238E27FC236}">
              <a16:creationId xmlns:a16="http://schemas.microsoft.com/office/drawing/2014/main" id="{4D2C1B4E-2A1E-D4C0-8FAA-97966CB0A9AF}"/>
            </a:ext>
          </a:extLst>
        </xdr:cNvPr>
        <xdr:cNvSpPr txBox="1"/>
      </xdr:nvSpPr>
      <xdr:spPr>
        <a:xfrm>
          <a:off x="0" y="647700"/>
          <a:ext cx="4572000" cy="774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1"/>
            <a:t>Walmart had consistent growth across the 2020-2025 period, increasing revenue from $524B to $681B, a 5-year</a:t>
          </a:r>
          <a:r>
            <a:rPr lang="en-US" sz="1000" i="1" baseline="0"/>
            <a:t> CAGR of approximately 5.4%. This growth was supported by solid grocery sales, as well as implementation of the Walmart+ membership. The company showed resilience through high-inflation periods.</a:t>
          </a:r>
          <a:endParaRPr lang="en-US" sz="1000" i="1"/>
        </a:p>
      </xdr:txBody>
    </xdr:sp>
    <xdr:clientData/>
  </xdr:twoCellAnchor>
  <xdr:twoCellAnchor>
    <xdr:from>
      <xdr:col>1</xdr:col>
      <xdr:colOff>0</xdr:colOff>
      <xdr:row>11</xdr:row>
      <xdr:rowOff>6350</xdr:rowOff>
    </xdr:from>
    <xdr:to>
      <xdr:col>2</xdr:col>
      <xdr:colOff>6350</xdr:colOff>
      <xdr:row>16</xdr:row>
      <xdr:rowOff>158750</xdr:rowOff>
    </xdr:to>
    <xdr:sp macro="" textlink="">
      <xdr:nvSpPr>
        <xdr:cNvPr id="4" name="TextBox 3">
          <a:extLst>
            <a:ext uri="{FF2B5EF4-FFF2-40B4-BE49-F238E27FC236}">
              <a16:creationId xmlns:a16="http://schemas.microsoft.com/office/drawing/2014/main" id="{BDB19D7E-76DF-4AB2-9896-792D9ED77F23}"/>
            </a:ext>
          </a:extLst>
        </xdr:cNvPr>
        <xdr:cNvSpPr txBox="1"/>
      </xdr:nvSpPr>
      <xdr:spPr>
        <a:xfrm>
          <a:off x="0" y="1930400"/>
          <a:ext cx="4591050" cy="107315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1"/>
            <a:t>2023 was</a:t>
          </a:r>
          <a:r>
            <a:rPr lang="en-US" sz="1000" i="1" baseline="0"/>
            <a:t> a struggle year as operating income declined 21.3% YoY, and net income fell to $11.3B (which was the lowest in the analysis period). This was driven by elevated cost of goods, supply chain costs, and wage invetments. Nonetheless, Walmart swiftly responded with cost discipline and price adjustments. By FY2025, operating income hit $29.3B and net income touched $20.2B, both 5-year highs, demonstrating impresive resilience and strong operational recovery.</a:t>
          </a:r>
          <a:endParaRPr lang="en-US" sz="1000" i="1"/>
        </a:p>
      </xdr:txBody>
    </xdr:sp>
    <xdr:clientData/>
  </xdr:twoCellAnchor>
  <xdr:twoCellAnchor>
    <xdr:from>
      <xdr:col>1</xdr:col>
      <xdr:colOff>0</xdr:colOff>
      <xdr:row>20</xdr:row>
      <xdr:rowOff>0</xdr:rowOff>
    </xdr:from>
    <xdr:to>
      <xdr:col>1</xdr:col>
      <xdr:colOff>4578350</xdr:colOff>
      <xdr:row>24</xdr:row>
      <xdr:rowOff>146050</xdr:rowOff>
    </xdr:to>
    <xdr:sp macro="" textlink="">
      <xdr:nvSpPr>
        <xdr:cNvPr id="6" name="TextBox 5">
          <a:extLst>
            <a:ext uri="{FF2B5EF4-FFF2-40B4-BE49-F238E27FC236}">
              <a16:creationId xmlns:a16="http://schemas.microsoft.com/office/drawing/2014/main" id="{956BC6FB-249E-4B68-9DA6-E71D50540C92}"/>
            </a:ext>
          </a:extLst>
        </xdr:cNvPr>
        <xdr:cNvSpPr txBox="1"/>
      </xdr:nvSpPr>
      <xdr:spPr>
        <a:xfrm>
          <a:off x="0" y="3581400"/>
          <a:ext cx="4578350" cy="882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1"/>
            <a:t>Operating</a:t>
          </a:r>
          <a:r>
            <a:rPr lang="en-US" sz="1000" i="1" baseline="0"/>
            <a:t> margins decreased from 4.5% in 2022 to 3.3% in FY2023 before recovering back to 4.3% by FY2025. Net margins tracked a similar trajectory. These fluctuations are within the expected range for a company like Walmart, where thin margins are structural. The FY2025 net margin of 3.0% represents a meaningful improvement and growing revenue streams (advertising, membership fees).</a:t>
          </a:r>
          <a:endParaRPr lang="en-US" sz="1000" i="1"/>
        </a:p>
      </xdr:txBody>
    </xdr:sp>
    <xdr:clientData/>
  </xdr:twoCellAnchor>
  <xdr:twoCellAnchor>
    <xdr:from>
      <xdr:col>1</xdr:col>
      <xdr:colOff>0</xdr:colOff>
      <xdr:row>28</xdr:row>
      <xdr:rowOff>0</xdr:rowOff>
    </xdr:from>
    <xdr:to>
      <xdr:col>1</xdr:col>
      <xdr:colOff>4578350</xdr:colOff>
      <xdr:row>31</xdr:row>
      <xdr:rowOff>177800</xdr:rowOff>
    </xdr:to>
    <xdr:sp macro="" textlink="">
      <xdr:nvSpPr>
        <xdr:cNvPr id="7" name="TextBox 6">
          <a:extLst>
            <a:ext uri="{FF2B5EF4-FFF2-40B4-BE49-F238E27FC236}">
              <a16:creationId xmlns:a16="http://schemas.microsoft.com/office/drawing/2014/main" id="{D358DFBD-B240-49D7-A8EE-760FE1CE6DCC}"/>
            </a:ext>
          </a:extLst>
        </xdr:cNvPr>
        <xdr:cNvSpPr txBox="1"/>
      </xdr:nvSpPr>
      <xdr:spPr>
        <a:xfrm>
          <a:off x="0" y="5054600"/>
          <a:ext cx="4578350" cy="73025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1"/>
            <a:t>Walmart reduced total</a:t>
          </a:r>
          <a:r>
            <a:rPr lang="en-US" sz="1000" i="1" baseline="0"/>
            <a:t> debt from $51B in FY2020 to $35B by FY2025, reflecting disciplined capital allocation. Total equity grew from $74.7B to $98.1B over the same period. The debt-to-equity ratio also improved significantly, indicating a stronger financial position. Return on equity remained healthy at 20% in FY2025.</a:t>
          </a:r>
          <a:endParaRPr lang="en-US" sz="1000" i="1"/>
        </a:p>
      </xdr:txBody>
    </xdr:sp>
    <xdr:clientData/>
  </xdr:twoCellAnchor>
  <xdr:twoCellAnchor>
    <xdr:from>
      <xdr:col>1</xdr:col>
      <xdr:colOff>0</xdr:colOff>
      <xdr:row>35</xdr:row>
      <xdr:rowOff>0</xdr:rowOff>
    </xdr:from>
    <xdr:to>
      <xdr:col>1</xdr:col>
      <xdr:colOff>4578350</xdr:colOff>
      <xdr:row>39</xdr:row>
      <xdr:rowOff>0</xdr:rowOff>
    </xdr:to>
    <xdr:sp macro="" textlink="">
      <xdr:nvSpPr>
        <xdr:cNvPr id="9" name="TextBox 8">
          <a:extLst>
            <a:ext uri="{FF2B5EF4-FFF2-40B4-BE49-F238E27FC236}">
              <a16:creationId xmlns:a16="http://schemas.microsoft.com/office/drawing/2014/main" id="{16BD5875-F59A-439A-9243-2A221619861A}"/>
            </a:ext>
          </a:extLst>
        </xdr:cNvPr>
        <xdr:cNvSpPr txBox="1"/>
      </xdr:nvSpPr>
      <xdr:spPr>
        <a:xfrm>
          <a:off x="0" y="6343650"/>
          <a:ext cx="4578350" cy="736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1"/>
            <a:t>Between Walmart, Target, and Kroger,</a:t>
          </a:r>
          <a:r>
            <a:rPr lang="en-US" sz="1000" i="1" baseline="0"/>
            <a:t> Walmart clearly takes the lead in revenue with $681B in FY2025 sales, more than 6x Target, and 4.6x Kroger. Walmart is the most compelling of the three on both growth and profitability. Kroger is stable but stagnant, and Target carries the greatest risk.</a:t>
          </a:r>
          <a:endParaRPr lang="en-US" sz="1000" i="1"/>
        </a:p>
      </xdr:txBody>
    </xdr:sp>
    <xdr:clientData/>
  </xdr:twoCellAnchor>
  <xdr:twoCellAnchor>
    <xdr:from>
      <xdr:col>1</xdr:col>
      <xdr:colOff>6350</xdr:colOff>
      <xdr:row>42</xdr:row>
      <xdr:rowOff>0</xdr:rowOff>
    </xdr:from>
    <xdr:to>
      <xdr:col>2</xdr:col>
      <xdr:colOff>25400</xdr:colOff>
      <xdr:row>44</xdr:row>
      <xdr:rowOff>133350</xdr:rowOff>
    </xdr:to>
    <xdr:sp macro="" textlink="">
      <xdr:nvSpPr>
        <xdr:cNvPr id="11" name="TextBox 10">
          <a:extLst>
            <a:ext uri="{FF2B5EF4-FFF2-40B4-BE49-F238E27FC236}">
              <a16:creationId xmlns:a16="http://schemas.microsoft.com/office/drawing/2014/main" id="{BC2348EE-1689-42E8-AA0D-FC3E07F235AC}"/>
            </a:ext>
          </a:extLst>
        </xdr:cNvPr>
        <xdr:cNvSpPr txBox="1"/>
      </xdr:nvSpPr>
      <xdr:spPr>
        <a:xfrm>
          <a:off x="6350" y="7632700"/>
          <a:ext cx="4603750" cy="50165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1"/>
            <a:t>Walmart's</a:t>
          </a:r>
          <a:r>
            <a:rPr lang="en-US" sz="1000" i="1" baseline="0"/>
            <a:t> brand and operational discipline position it favorably for sustained long-term performance.</a:t>
          </a:r>
          <a:endParaRPr lang="en-US" sz="1000" i="1"/>
        </a:p>
      </xdr:txBody>
    </xdr:sp>
    <xdr:clientData/>
  </xdr:twoCellAnchor>
  <xdr:twoCellAnchor>
    <xdr:from>
      <xdr:col>1</xdr:col>
      <xdr:colOff>0</xdr:colOff>
      <xdr:row>48</xdr:row>
      <xdr:rowOff>0</xdr:rowOff>
    </xdr:from>
    <xdr:to>
      <xdr:col>1</xdr:col>
      <xdr:colOff>4578350</xdr:colOff>
      <xdr:row>52</xdr:row>
      <xdr:rowOff>0</xdr:rowOff>
    </xdr:to>
    <xdr:sp macro="" textlink="">
      <xdr:nvSpPr>
        <xdr:cNvPr id="3" name="TextBox 2">
          <a:extLst>
            <a:ext uri="{FF2B5EF4-FFF2-40B4-BE49-F238E27FC236}">
              <a16:creationId xmlns:a16="http://schemas.microsoft.com/office/drawing/2014/main" id="{E7C7AC5D-3F17-410A-9D5B-58EE209A3442}"/>
            </a:ext>
          </a:extLst>
        </xdr:cNvPr>
        <xdr:cNvSpPr txBox="1"/>
      </xdr:nvSpPr>
      <xdr:spPr>
        <a:xfrm>
          <a:off x="0" y="6343650"/>
          <a:ext cx="4578350" cy="736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1"/>
            <a:t>Between Walmart, Target, and Kroger,</a:t>
          </a:r>
          <a:r>
            <a:rPr lang="en-US" sz="1000" i="1" baseline="0"/>
            <a:t> Walmart clearly takes the lead in revenue with $681B in FY2025 sales, more than 6x Target, and 4.6x Kroger. Walmart is the most compelling of the three on both growth and profitability. Kroger is stable but stagnant, and Target carries the greatest risk.</a:t>
          </a:r>
          <a:endParaRPr lang="en-US" sz="1000" i="1"/>
        </a:p>
      </xdr:txBody>
    </xdr:sp>
    <xdr:clientData/>
  </xdr:twoCellAnchor>
  <xdr:twoCellAnchor>
    <xdr:from>
      <xdr:col>1</xdr:col>
      <xdr:colOff>0</xdr:colOff>
      <xdr:row>48</xdr:row>
      <xdr:rowOff>0</xdr:rowOff>
    </xdr:from>
    <xdr:to>
      <xdr:col>2</xdr:col>
      <xdr:colOff>12700</xdr:colOff>
      <xdr:row>54</xdr:row>
      <xdr:rowOff>95250</xdr:rowOff>
    </xdr:to>
    <xdr:sp macro="" textlink="">
      <xdr:nvSpPr>
        <xdr:cNvPr id="5" name="TextBox 4">
          <a:extLst>
            <a:ext uri="{FF2B5EF4-FFF2-40B4-BE49-F238E27FC236}">
              <a16:creationId xmlns:a16="http://schemas.microsoft.com/office/drawing/2014/main" id="{2EF90EE0-AEEA-4220-B5ED-3DA6E724C50E}"/>
            </a:ext>
          </a:extLst>
        </xdr:cNvPr>
        <xdr:cNvSpPr txBox="1"/>
      </xdr:nvSpPr>
      <xdr:spPr>
        <a:xfrm>
          <a:off x="0" y="8737600"/>
          <a:ext cx="4597400" cy="1200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1"/>
            <a:t>Using a 5-year DCF model, I calculated</a:t>
          </a:r>
          <a:r>
            <a:rPr lang="en-US" sz="1000" i="1" baseline="0"/>
            <a:t> Walmart's WACC at 6.80% via CAPM, applying a FCF growth rate of 7.5% and terminal growth rate of 2.5%. The model yields an implied share price of $43.78, a -61.85% downside from the current market price of $114.75. Even under the most optimistic sensitivity scenario, the implied price of $72.24 still falls short of current levels. This gap likely reflects the market pricing in Walmart's e-commerce and advertising growth, factors that historical FCF cannot fully capture. A single stage DCF has limitations here.</a:t>
          </a:r>
          <a:endParaRPr lang="en-US" sz="1000" i="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1118</xdr:rowOff>
    </xdr:from>
    <xdr:to>
      <xdr:col>12</xdr:col>
      <xdr:colOff>6287</xdr:colOff>
      <xdr:row>3</xdr:row>
      <xdr:rowOff>154459</xdr:rowOff>
    </xdr:to>
    <xdr:sp macro="" textlink="">
      <xdr:nvSpPr>
        <xdr:cNvPr id="2" name="TextBox 1">
          <a:extLst>
            <a:ext uri="{FF2B5EF4-FFF2-40B4-BE49-F238E27FC236}">
              <a16:creationId xmlns:a16="http://schemas.microsoft.com/office/drawing/2014/main" id="{CEC0CFFD-7BDE-4433-ACAA-D34B70A0FF48}"/>
            </a:ext>
          </a:extLst>
        </xdr:cNvPr>
        <xdr:cNvSpPr txBox="1"/>
      </xdr:nvSpPr>
      <xdr:spPr>
        <a:xfrm>
          <a:off x="0" y="1118"/>
          <a:ext cx="12637129" cy="517994"/>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800" b="1">
              <a:solidFill>
                <a:schemeClr val="bg1"/>
              </a:solidFill>
            </a:rPr>
            <a:t>WALMART INC.</a:t>
          </a:r>
          <a:r>
            <a:rPr lang="en-US" sz="1800" b="1" baseline="0">
              <a:solidFill>
                <a:schemeClr val="bg1"/>
              </a:solidFill>
            </a:rPr>
            <a:t> | Financial Dashboard (FY2020-2025)</a:t>
          </a:r>
          <a:endParaRPr lang="en-US" sz="1800" b="1">
            <a:solidFill>
              <a:schemeClr val="bg1"/>
            </a:solidFill>
          </a:endParaRPr>
        </a:p>
      </xdr:txBody>
    </xdr:sp>
    <xdr:clientData/>
  </xdr:twoCellAnchor>
  <xdr:twoCellAnchor editAs="oneCell">
    <xdr:from>
      <xdr:col>1</xdr:col>
      <xdr:colOff>0</xdr:colOff>
      <xdr:row>9</xdr:row>
      <xdr:rowOff>8945</xdr:rowOff>
    </xdr:from>
    <xdr:to>
      <xdr:col>3</xdr:col>
      <xdr:colOff>752566</xdr:colOff>
      <xdr:row>24</xdr:row>
      <xdr:rowOff>89437</xdr:rowOff>
    </xdr:to>
    <xdr:graphicFrame macro="">
      <xdr:nvGraphicFramePr>
        <xdr:cNvPr id="4" name="Chart 3">
          <a:extLst>
            <a:ext uri="{FF2B5EF4-FFF2-40B4-BE49-F238E27FC236}">
              <a16:creationId xmlns:a16="http://schemas.microsoft.com/office/drawing/2014/main" id="{6C0F89CE-A44E-4C04-AD5A-E8BCB61B9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782557</xdr:colOff>
      <xdr:row>9</xdr:row>
      <xdr:rowOff>25066</xdr:rowOff>
    </xdr:from>
    <xdr:to>
      <xdr:col>6</xdr:col>
      <xdr:colOff>892748</xdr:colOff>
      <xdr:row>24</xdr:row>
      <xdr:rowOff>62987</xdr:rowOff>
    </xdr:to>
    <xdr:graphicFrame macro="">
      <xdr:nvGraphicFramePr>
        <xdr:cNvPr id="5" name="Chart 4">
          <a:extLst>
            <a:ext uri="{FF2B5EF4-FFF2-40B4-BE49-F238E27FC236}">
              <a16:creationId xmlns:a16="http://schemas.microsoft.com/office/drawing/2014/main" id="{1591B7F0-751E-4CDB-B89C-EAC31048C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24</xdr:row>
      <xdr:rowOff>44718</xdr:rowOff>
    </xdr:from>
    <xdr:to>
      <xdr:col>6</xdr:col>
      <xdr:colOff>906887</xdr:colOff>
      <xdr:row>39</xdr:row>
      <xdr:rowOff>108618</xdr:rowOff>
    </xdr:to>
    <xdr:graphicFrame macro="">
      <xdr:nvGraphicFramePr>
        <xdr:cNvPr id="7" name="Chart 6">
          <a:extLst>
            <a:ext uri="{FF2B5EF4-FFF2-40B4-BE49-F238E27FC236}">
              <a16:creationId xmlns:a16="http://schemas.microsoft.com/office/drawing/2014/main" id="{322DDF27-C6C2-4770-B7BE-BD27A8C1E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427213</xdr:colOff>
      <xdr:row>12</xdr:row>
      <xdr:rowOff>68036</xdr:rowOff>
    </xdr:from>
    <xdr:to>
      <xdr:col>11</xdr:col>
      <xdr:colOff>531733</xdr:colOff>
      <xdr:row>35</xdr:row>
      <xdr:rowOff>34018</xdr:rowOff>
    </xdr:to>
    <xdr:graphicFrame macro="">
      <xdr:nvGraphicFramePr>
        <xdr:cNvPr id="3" name="Chart 1">
          <a:extLst>
            <a:ext uri="{FF2B5EF4-FFF2-40B4-BE49-F238E27FC236}">
              <a16:creationId xmlns:a16="http://schemas.microsoft.com/office/drawing/2014/main" id="{DF5D5091-985E-46C6-E985-1CB354373A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raci\Downloads\Walmart_Financial_Analysis.xlsx" TargetMode="External"/><Relationship Id="rId1" Type="http://schemas.openxmlformats.org/officeDocument/2006/relationships/externalLinkPath" Target="Walmart_Financial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Raw Data"/>
      <sheetName val="Ratios"/>
      <sheetName val="YoY Growth"/>
      <sheetName val="Peer Comparison"/>
      <sheetName val="Insights"/>
      <sheetName val="Dashboard"/>
    </sheetNames>
    <sheetDataSet>
      <sheetData sheetId="0"/>
      <sheetData sheetId="1"/>
      <sheetData sheetId="2"/>
      <sheetData sheetId="3"/>
      <sheetData sheetId="4"/>
      <sheetData sheetId="5"/>
      <sheetData sheetId="6">
        <row r="30">
          <cell r="O30" t="str">
            <v>Revenue</v>
          </cell>
          <cell r="P30" t="str">
            <v>Net Income</v>
          </cell>
          <cell r="Q30" t="str">
            <v>Op Margin</v>
          </cell>
          <cell r="R30" t="str">
            <v>Net Margin</v>
          </cell>
        </row>
        <row r="31">
          <cell r="N31" t="str">
            <v>FY2020</v>
          </cell>
          <cell r="O31">
            <v>523964</v>
          </cell>
          <cell r="P31">
            <v>15201</v>
          </cell>
          <cell r="Q31">
            <v>3.9254605278225198E-2</v>
          </cell>
          <cell r="R31">
            <v>2.9011535143635799E-2</v>
          </cell>
        </row>
        <row r="32">
          <cell r="N32" t="str">
            <v>FY2021</v>
          </cell>
          <cell r="O32">
            <v>559151</v>
          </cell>
          <cell r="P32">
            <v>13706</v>
          </cell>
          <cell r="Q32">
            <v>4.0325421934325402E-2</v>
          </cell>
          <cell r="R32">
            <v>2.4512162188746901E-2</v>
          </cell>
        </row>
        <row r="33">
          <cell r="N33" t="str">
            <v>FY2022</v>
          </cell>
          <cell r="O33">
            <v>572754</v>
          </cell>
          <cell r="P33">
            <v>13940</v>
          </cell>
          <cell r="Q33">
            <v>4.5293441861602002E-2</v>
          </cell>
          <cell r="R33">
            <v>2.4338546740834601E-2</v>
          </cell>
        </row>
        <row r="34">
          <cell r="N34" t="str">
            <v>FY2023</v>
          </cell>
          <cell r="O34">
            <v>611289</v>
          </cell>
          <cell r="P34">
            <v>11292</v>
          </cell>
          <cell r="Q34">
            <v>3.3417908714208799E-2</v>
          </cell>
          <cell r="R34">
            <v>1.8472441022167899E-2</v>
          </cell>
        </row>
        <row r="35">
          <cell r="N35" t="str">
            <v>FY2024</v>
          </cell>
          <cell r="O35">
            <v>648125</v>
          </cell>
          <cell r="P35">
            <v>16270</v>
          </cell>
          <cell r="Q35">
            <v>4.16771456123433E-2</v>
          </cell>
          <cell r="R35">
            <v>2.5103182256509201E-2</v>
          </cell>
        </row>
        <row r="36">
          <cell r="N36" t="str">
            <v>FY2025</v>
          </cell>
          <cell r="O36">
            <v>680985</v>
          </cell>
          <cell r="P36">
            <v>20157</v>
          </cell>
          <cell r="Q36">
            <v>4.3096397130626997E-2</v>
          </cell>
          <cell r="R36">
            <v>2.95997709200643E-2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A1C45-DC64-4ADE-BB53-DBA60A9B8706}">
  <sheetPr>
    <tabColor theme="1"/>
  </sheetPr>
  <dimension ref="A1:M44"/>
  <sheetViews>
    <sheetView showGridLines="0" tabSelected="1" zoomScale="80" zoomScaleNormal="80" workbookViewId="0">
      <selection activeCell="L44" sqref="L44"/>
    </sheetView>
  </sheetViews>
  <sheetFormatPr defaultRowHeight="14.5" x14ac:dyDescent="0.35"/>
  <cols>
    <col min="2" max="2" width="14.08984375" bestFit="1" customWidth="1"/>
  </cols>
  <sheetData>
    <row r="1" spans="2:13" ht="14.5" customHeight="1" x14ac:dyDescent="0.35">
      <c r="B1" s="176" t="s">
        <v>6</v>
      </c>
      <c r="C1" s="177"/>
      <c r="D1" s="177"/>
      <c r="E1" s="177"/>
      <c r="F1" s="177"/>
      <c r="G1" s="177"/>
      <c r="H1" s="178"/>
    </row>
    <row r="2" spans="2:13" ht="14.5" customHeight="1" x14ac:dyDescent="0.35">
      <c r="B2" s="179"/>
      <c r="C2" s="180"/>
      <c r="D2" s="180"/>
      <c r="E2" s="180"/>
      <c r="F2" s="180"/>
      <c r="G2" s="180"/>
      <c r="H2" s="181"/>
    </row>
    <row r="3" spans="2:13" ht="14.5" customHeight="1" x14ac:dyDescent="0.35">
      <c r="B3" s="179"/>
      <c r="C3" s="180"/>
      <c r="D3" s="180"/>
      <c r="E3" s="180"/>
      <c r="F3" s="180"/>
      <c r="G3" s="180"/>
      <c r="H3" s="181"/>
    </row>
    <row r="4" spans="2:13" ht="14.5" customHeight="1" x14ac:dyDescent="0.35">
      <c r="B4" s="179"/>
      <c r="C4" s="180"/>
      <c r="D4" s="180"/>
      <c r="E4" s="180"/>
      <c r="F4" s="180"/>
      <c r="G4" s="180"/>
      <c r="H4" s="181"/>
    </row>
    <row r="5" spans="2:13" ht="14.5" customHeight="1" x14ac:dyDescent="0.35">
      <c r="B5" s="182" t="s">
        <v>7</v>
      </c>
      <c r="C5" s="183"/>
      <c r="D5" s="183"/>
      <c r="E5" s="183"/>
      <c r="F5" s="183"/>
      <c r="G5" s="183"/>
      <c r="H5" s="184"/>
    </row>
    <row r="6" spans="2:13" ht="14.5" customHeight="1" x14ac:dyDescent="0.35">
      <c r="B6" s="185"/>
      <c r="C6" s="186"/>
      <c r="D6" s="186"/>
      <c r="E6" s="186"/>
      <c r="F6" s="186"/>
      <c r="G6" s="186"/>
      <c r="H6" s="187"/>
    </row>
    <row r="7" spans="2:13" ht="14.5" customHeight="1" x14ac:dyDescent="0.35">
      <c r="B7" s="188"/>
      <c r="C7" s="189"/>
      <c r="D7" s="189"/>
      <c r="E7" s="189"/>
      <c r="F7" s="189"/>
      <c r="G7" s="189"/>
      <c r="H7" s="190"/>
    </row>
    <row r="8" spans="2:13" x14ac:dyDescent="0.35">
      <c r="B8" s="64"/>
      <c r="C8" s="65"/>
      <c r="D8" s="65"/>
      <c r="E8" s="65"/>
      <c r="F8" s="65"/>
      <c r="G8" s="65"/>
      <c r="H8" s="59"/>
    </row>
    <row r="9" spans="2:13" ht="14.5" customHeight="1" x14ac:dyDescent="0.55000000000000004">
      <c r="B9" s="157"/>
      <c r="C9" s="158"/>
      <c r="D9" s="158"/>
      <c r="E9" s="158"/>
      <c r="F9" s="158"/>
      <c r="G9" s="158"/>
      <c r="H9" s="159"/>
      <c r="I9" s="2"/>
      <c r="J9" s="2"/>
    </row>
    <row r="10" spans="2:13" ht="14.5" customHeight="1" x14ac:dyDescent="0.55000000000000004">
      <c r="B10" s="160" t="s">
        <v>13</v>
      </c>
      <c r="C10" s="161"/>
      <c r="D10" s="161"/>
      <c r="E10" s="161"/>
      <c r="F10" s="161"/>
      <c r="G10" s="161"/>
      <c r="H10" s="162"/>
      <c r="I10" s="2"/>
      <c r="J10" s="2"/>
      <c r="M10" s="1"/>
    </row>
    <row r="11" spans="2:13" ht="14.5" customHeight="1" x14ac:dyDescent="0.55000000000000004">
      <c r="B11" s="160"/>
      <c r="C11" s="161"/>
      <c r="D11" s="161"/>
      <c r="E11" s="161"/>
      <c r="F11" s="161"/>
      <c r="G11" s="161"/>
      <c r="H11" s="162"/>
      <c r="I11" s="2"/>
      <c r="J11" s="2"/>
    </row>
    <row r="12" spans="2:13" ht="14.5" customHeight="1" x14ac:dyDescent="0.55000000000000004">
      <c r="B12" s="163" t="s">
        <v>67</v>
      </c>
      <c r="C12" s="164"/>
      <c r="D12" s="164"/>
      <c r="E12" s="164"/>
      <c r="F12" s="164"/>
      <c r="G12" s="164"/>
      <c r="H12" s="165"/>
      <c r="I12" s="2"/>
      <c r="J12" s="2"/>
    </row>
    <row r="13" spans="2:13" x14ac:dyDescent="0.35">
      <c r="B13" s="166"/>
      <c r="C13" s="167"/>
      <c r="D13" s="167"/>
      <c r="E13" s="167"/>
      <c r="F13" s="167"/>
      <c r="G13" s="168"/>
      <c r="H13" s="169"/>
    </row>
    <row r="14" spans="2:13" x14ac:dyDescent="0.35">
      <c r="B14" s="163" t="s">
        <v>14</v>
      </c>
      <c r="C14" s="164"/>
      <c r="D14" s="164"/>
      <c r="E14" s="164"/>
      <c r="F14" s="164"/>
      <c r="G14" s="164"/>
      <c r="H14" s="165"/>
    </row>
    <row r="15" spans="2:13" x14ac:dyDescent="0.35">
      <c r="B15" s="166"/>
      <c r="C15" s="167"/>
      <c r="D15" s="167"/>
      <c r="E15" s="167"/>
      <c r="F15" s="167"/>
      <c r="G15" s="167"/>
      <c r="H15" s="169"/>
    </row>
    <row r="16" spans="2:13" x14ac:dyDescent="0.35">
      <c r="B16" s="163" t="s">
        <v>15</v>
      </c>
      <c r="C16" s="164"/>
      <c r="D16" s="164"/>
      <c r="E16" s="164"/>
      <c r="F16" s="164"/>
      <c r="G16" s="164"/>
      <c r="H16" s="165"/>
    </row>
    <row r="17" spans="2:9" x14ac:dyDescent="0.35">
      <c r="B17" s="166"/>
      <c r="C17" s="167"/>
      <c r="D17" s="167"/>
      <c r="E17" s="167"/>
      <c r="F17" s="167"/>
      <c r="G17" s="167"/>
      <c r="H17" s="169"/>
    </row>
    <row r="18" spans="2:9" x14ac:dyDescent="0.35">
      <c r="B18" s="163" t="s">
        <v>16</v>
      </c>
      <c r="C18" s="164"/>
      <c r="D18" s="164"/>
      <c r="E18" s="164"/>
      <c r="F18" s="164"/>
      <c r="G18" s="164"/>
      <c r="H18" s="165"/>
    </row>
    <row r="19" spans="2:9" x14ac:dyDescent="0.35">
      <c r="B19" s="170"/>
      <c r="C19" s="171"/>
      <c r="D19" s="171"/>
      <c r="E19" s="171"/>
      <c r="F19" s="171"/>
      <c r="G19" s="171"/>
      <c r="H19" s="172"/>
    </row>
    <row r="22" spans="2:9" ht="14.5" customHeight="1" x14ac:dyDescent="0.35">
      <c r="B22" s="123" t="s">
        <v>69</v>
      </c>
      <c r="C22" s="124"/>
      <c r="D22" s="124"/>
      <c r="E22" s="124"/>
      <c r="F22" s="124"/>
      <c r="G22" s="124"/>
      <c r="H22" s="125"/>
    </row>
    <row r="23" spans="2:9" x14ac:dyDescent="0.35">
      <c r="B23" s="173"/>
      <c r="C23" s="174"/>
      <c r="D23" s="174"/>
      <c r="E23" s="174"/>
      <c r="F23" s="174"/>
      <c r="G23" s="174"/>
      <c r="H23" s="175"/>
    </row>
    <row r="24" spans="2:9" ht="14.5" customHeight="1" x14ac:dyDescent="0.35">
      <c r="B24" s="195"/>
      <c r="C24" s="196"/>
      <c r="D24" s="196"/>
      <c r="E24" s="196"/>
      <c r="F24" s="196"/>
      <c r="G24" s="196"/>
      <c r="H24" s="197"/>
    </row>
    <row r="25" spans="2:9" ht="14.5" customHeight="1" x14ac:dyDescent="0.35">
      <c r="B25" s="137" t="s">
        <v>133</v>
      </c>
      <c r="C25" s="138"/>
      <c r="D25" s="139" t="s">
        <v>8</v>
      </c>
      <c r="E25" s="139"/>
      <c r="F25" s="139"/>
      <c r="G25" s="139"/>
      <c r="H25" s="140"/>
      <c r="I25" s="4"/>
    </row>
    <row r="26" spans="2:9" x14ac:dyDescent="0.35">
      <c r="B26" s="141" t="s">
        <v>134</v>
      </c>
      <c r="C26" s="142"/>
      <c r="D26" s="143" t="s">
        <v>140</v>
      </c>
      <c r="E26" s="143"/>
      <c r="F26" s="143"/>
      <c r="G26" s="143"/>
      <c r="H26" s="144"/>
      <c r="I26" s="4"/>
    </row>
    <row r="27" spans="2:9" x14ac:dyDescent="0.35">
      <c r="B27" s="145" t="s">
        <v>135</v>
      </c>
      <c r="C27" s="146"/>
      <c r="D27" s="139" t="s">
        <v>9</v>
      </c>
      <c r="E27" s="139"/>
      <c r="F27" s="139"/>
      <c r="G27" s="139"/>
      <c r="H27" s="140"/>
      <c r="I27" s="4"/>
    </row>
    <row r="28" spans="2:9" x14ac:dyDescent="0.35">
      <c r="B28" s="141" t="s">
        <v>137</v>
      </c>
      <c r="C28" s="147"/>
      <c r="D28" s="143" t="s">
        <v>10</v>
      </c>
      <c r="E28" s="143"/>
      <c r="F28" s="143"/>
      <c r="G28" s="143"/>
      <c r="H28" s="144"/>
      <c r="I28" s="4"/>
    </row>
    <row r="29" spans="2:9" x14ac:dyDescent="0.35">
      <c r="B29" s="145" t="s">
        <v>136</v>
      </c>
      <c r="C29" s="146"/>
      <c r="D29" s="139" t="s">
        <v>141</v>
      </c>
      <c r="E29" s="139"/>
      <c r="F29" s="139"/>
      <c r="G29" s="139"/>
      <c r="H29" s="140"/>
      <c r="I29" s="4"/>
    </row>
    <row r="30" spans="2:9" x14ac:dyDescent="0.35">
      <c r="B30" s="148" t="s">
        <v>138</v>
      </c>
      <c r="C30" s="149"/>
      <c r="D30" s="150" t="s">
        <v>11</v>
      </c>
      <c r="E30" s="150"/>
      <c r="F30" s="150"/>
      <c r="G30" s="150"/>
      <c r="H30" s="151"/>
      <c r="I30" s="4"/>
    </row>
    <row r="31" spans="2:9" x14ac:dyDescent="0.35">
      <c r="B31" s="145" t="s">
        <v>139</v>
      </c>
      <c r="C31" s="152"/>
      <c r="D31" s="139" t="s">
        <v>12</v>
      </c>
      <c r="E31" s="139"/>
      <c r="F31" s="139"/>
      <c r="G31" s="139"/>
      <c r="H31" s="140"/>
      <c r="I31" s="4"/>
    </row>
    <row r="32" spans="2:9" x14ac:dyDescent="0.35">
      <c r="B32" s="153"/>
      <c r="C32" s="154"/>
      <c r="D32" s="155"/>
      <c r="E32" s="155"/>
      <c r="F32" s="155"/>
      <c r="G32" s="155"/>
      <c r="H32" s="156"/>
      <c r="I32" s="122"/>
    </row>
    <row r="33" spans="1:9" x14ac:dyDescent="0.35">
      <c r="B33" s="21"/>
      <c r="C33" s="21"/>
      <c r="D33" s="22"/>
      <c r="E33" s="22"/>
      <c r="F33" s="22"/>
      <c r="G33" s="22"/>
      <c r="H33" s="22"/>
      <c r="I33" s="122"/>
    </row>
    <row r="34" spans="1:9" x14ac:dyDescent="0.35">
      <c r="B34" s="21"/>
      <c r="C34" s="21"/>
      <c r="D34" s="22"/>
      <c r="E34" s="22"/>
      <c r="F34" s="22"/>
      <c r="G34" s="22"/>
      <c r="H34" s="22"/>
      <c r="I34" s="122"/>
    </row>
    <row r="35" spans="1:9" x14ac:dyDescent="0.35">
      <c r="B35" s="23"/>
      <c r="C35" s="23"/>
      <c r="D35" s="22"/>
      <c r="E35" s="22"/>
      <c r="F35" s="22"/>
      <c r="G35" s="22"/>
      <c r="H35" s="22"/>
      <c r="I35" s="26"/>
    </row>
    <row r="38" spans="1:9" x14ac:dyDescent="0.35">
      <c r="B38" s="123" t="s">
        <v>68</v>
      </c>
      <c r="C38" s="124"/>
      <c r="D38" s="124"/>
      <c r="E38" s="124"/>
      <c r="F38" s="124"/>
      <c r="G38" s="124"/>
      <c r="H38" s="125"/>
    </row>
    <row r="39" spans="1:9" ht="14.5" customHeight="1" x14ac:dyDescent="0.35">
      <c r="B39" s="173"/>
      <c r="C39" s="174"/>
      <c r="D39" s="174"/>
      <c r="E39" s="174"/>
      <c r="F39" s="174"/>
      <c r="G39" s="174"/>
      <c r="H39" s="175"/>
    </row>
    <row r="40" spans="1:9" x14ac:dyDescent="0.35">
      <c r="B40" s="126"/>
      <c r="C40" s="127"/>
      <c r="D40" s="127"/>
      <c r="E40" s="127"/>
      <c r="F40" s="127"/>
      <c r="G40" s="127"/>
      <c r="H40" s="128"/>
    </row>
    <row r="41" spans="1:9" x14ac:dyDescent="0.35">
      <c r="B41" s="191" t="s">
        <v>62</v>
      </c>
      <c r="C41" s="192" t="s">
        <v>63</v>
      </c>
      <c r="D41" s="193" t="s">
        <v>64</v>
      </c>
      <c r="E41" s="193"/>
      <c r="F41" s="193"/>
      <c r="G41" s="193"/>
      <c r="H41" s="194"/>
    </row>
    <row r="42" spans="1:9" x14ac:dyDescent="0.35">
      <c r="B42" s="131" t="s">
        <v>113</v>
      </c>
      <c r="C42" s="129" t="s">
        <v>63</v>
      </c>
      <c r="D42" s="110" t="s">
        <v>114</v>
      </c>
      <c r="E42" s="110"/>
      <c r="F42" s="110"/>
      <c r="G42" s="110"/>
      <c r="H42" s="130"/>
    </row>
    <row r="43" spans="1:9" x14ac:dyDescent="0.35">
      <c r="B43" s="132" t="s">
        <v>65</v>
      </c>
      <c r="C43" s="192" t="s">
        <v>63</v>
      </c>
      <c r="D43" s="193" t="s">
        <v>66</v>
      </c>
      <c r="E43" s="193"/>
      <c r="F43" s="193"/>
      <c r="G43" s="193"/>
      <c r="H43" s="194"/>
    </row>
    <row r="44" spans="1:9" x14ac:dyDescent="0.35">
      <c r="A44" s="11"/>
      <c r="B44" s="133"/>
      <c r="C44" s="134"/>
      <c r="D44" s="135"/>
      <c r="E44" s="135"/>
      <c r="F44" s="135"/>
      <c r="G44" s="135"/>
      <c r="H44" s="136"/>
    </row>
  </sheetData>
  <mergeCells count="37">
    <mergeCell ref="D44:H44"/>
    <mergeCell ref="B32:C32"/>
    <mergeCell ref="D32:H32"/>
    <mergeCell ref="D42:H42"/>
    <mergeCell ref="B29:C29"/>
    <mergeCell ref="D29:H29"/>
    <mergeCell ref="B38:H39"/>
    <mergeCell ref="D41:H41"/>
    <mergeCell ref="D43:H43"/>
    <mergeCell ref="D33:H33"/>
    <mergeCell ref="B33:C33"/>
    <mergeCell ref="B34:C34"/>
    <mergeCell ref="D34:H34"/>
    <mergeCell ref="B35:C35"/>
    <mergeCell ref="D35:H35"/>
    <mergeCell ref="B19:H19"/>
    <mergeCell ref="B1:H4"/>
    <mergeCell ref="B5:H5"/>
    <mergeCell ref="B10:H10"/>
    <mergeCell ref="B11:H11"/>
    <mergeCell ref="B12:H12"/>
    <mergeCell ref="B14:H14"/>
    <mergeCell ref="B16:H16"/>
    <mergeCell ref="B18:H18"/>
    <mergeCell ref="B22:H23"/>
    <mergeCell ref="B25:C25"/>
    <mergeCell ref="B26:C26"/>
    <mergeCell ref="B27:C27"/>
    <mergeCell ref="B28:C28"/>
    <mergeCell ref="B31:C31"/>
    <mergeCell ref="D25:H25"/>
    <mergeCell ref="D26:H26"/>
    <mergeCell ref="D27:H27"/>
    <mergeCell ref="D28:H28"/>
    <mergeCell ref="D30:H30"/>
    <mergeCell ref="D31:H31"/>
    <mergeCell ref="B30:C3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44A59-C081-4D3E-BFAC-A046251902C2}">
  <sheetPr>
    <tabColor rgb="FF0070C0"/>
  </sheetPr>
  <dimension ref="B2:I29"/>
  <sheetViews>
    <sheetView showGridLines="0" zoomScale="74" workbookViewId="0">
      <selection activeCell="K13" sqref="K13"/>
    </sheetView>
  </sheetViews>
  <sheetFormatPr defaultRowHeight="14.5" x14ac:dyDescent="0.35"/>
  <cols>
    <col min="2" max="2" width="25.6328125" customWidth="1"/>
    <col min="3" max="8" width="12.6328125" customWidth="1"/>
  </cols>
  <sheetData>
    <row r="2" spans="2:8" x14ac:dyDescent="0.35">
      <c r="B2" s="32" t="s">
        <v>38</v>
      </c>
      <c r="C2" s="33"/>
      <c r="D2" s="33"/>
      <c r="E2" s="33"/>
      <c r="F2" s="33"/>
      <c r="G2" s="33"/>
      <c r="H2" s="34"/>
    </row>
    <row r="3" spans="2:8" x14ac:dyDescent="0.35">
      <c r="B3" s="35"/>
      <c r="C3" s="20"/>
      <c r="D3" s="20"/>
      <c r="E3" s="20"/>
      <c r="F3" s="20"/>
      <c r="G3" s="20"/>
      <c r="H3" s="36"/>
    </row>
    <row r="4" spans="2:8" x14ac:dyDescent="0.35">
      <c r="B4" s="37" t="s">
        <v>17</v>
      </c>
      <c r="C4" s="38"/>
      <c r="D4" s="38"/>
      <c r="E4" s="38"/>
      <c r="F4" s="38"/>
      <c r="G4" s="38"/>
      <c r="H4" s="39"/>
    </row>
    <row r="5" spans="2:8" x14ac:dyDescent="0.35">
      <c r="B5" s="216"/>
      <c r="C5" s="217"/>
      <c r="D5" s="217"/>
      <c r="E5" s="217"/>
      <c r="F5" s="217"/>
      <c r="G5" s="217"/>
      <c r="H5" s="218"/>
    </row>
    <row r="6" spans="2:8" x14ac:dyDescent="0.35">
      <c r="B6" s="40" t="s">
        <v>24</v>
      </c>
      <c r="C6" s="41">
        <v>2020</v>
      </c>
      <c r="D6" s="41">
        <v>2021</v>
      </c>
      <c r="E6" s="41">
        <v>2022</v>
      </c>
      <c r="F6" s="41">
        <v>2023</v>
      </c>
      <c r="G6" s="41">
        <v>2024</v>
      </c>
      <c r="H6" s="42">
        <v>2025</v>
      </c>
    </row>
    <row r="7" spans="2:8" x14ac:dyDescent="0.35">
      <c r="B7" s="43" t="s">
        <v>20</v>
      </c>
      <c r="C7" s="44"/>
      <c r="D7" s="44"/>
      <c r="E7" s="44"/>
      <c r="F7" s="44"/>
      <c r="G7" s="44"/>
      <c r="H7" s="45"/>
    </row>
    <row r="8" spans="2:8" x14ac:dyDescent="0.35">
      <c r="B8" s="214" t="s">
        <v>19</v>
      </c>
      <c r="C8" s="249">
        <v>523964</v>
      </c>
      <c r="D8" s="249">
        <v>559151</v>
      </c>
      <c r="E8" s="249">
        <v>572754</v>
      </c>
      <c r="F8" s="249">
        <v>611289</v>
      </c>
      <c r="G8" s="249">
        <v>648125</v>
      </c>
      <c r="H8" s="250">
        <v>680985</v>
      </c>
    </row>
    <row r="9" spans="2:8" s="25" customFormat="1" x14ac:dyDescent="0.35">
      <c r="B9" s="251" t="s">
        <v>92</v>
      </c>
      <c r="C9" s="252">
        <v>-394605</v>
      </c>
      <c r="D9" s="252">
        <v>-420315</v>
      </c>
      <c r="E9" s="252">
        <v>-429000</v>
      </c>
      <c r="F9" s="252">
        <v>-463721</v>
      </c>
      <c r="G9" s="252">
        <v>-487837</v>
      </c>
      <c r="H9" s="253">
        <v>-511285</v>
      </c>
    </row>
    <row r="10" spans="2:8" s="24" customFormat="1" x14ac:dyDescent="0.35">
      <c r="B10" s="254" t="s">
        <v>21</v>
      </c>
      <c r="C10" s="255">
        <f>'Raw Data'!C8+'Raw Data'!C9</f>
        <v>129359</v>
      </c>
      <c r="D10" s="255">
        <f>'Raw Data'!D8+'Raw Data'!D9</f>
        <v>138836</v>
      </c>
      <c r="E10" s="255">
        <f>'Raw Data'!E8+'Raw Data'!E9</f>
        <v>143754</v>
      </c>
      <c r="F10" s="255">
        <f>'Raw Data'!F8+'Raw Data'!F9</f>
        <v>147568</v>
      </c>
      <c r="G10" s="255">
        <f>'Raw Data'!G8+'Raw Data'!G9</f>
        <v>160288</v>
      </c>
      <c r="H10" s="256">
        <f>'Raw Data'!H8+'Raw Data'!H9</f>
        <v>169700</v>
      </c>
    </row>
    <row r="11" spans="2:8" s="25" customFormat="1" x14ac:dyDescent="0.35">
      <c r="B11" s="257" t="s">
        <v>1</v>
      </c>
      <c r="C11" s="258">
        <v>20568</v>
      </c>
      <c r="D11" s="258">
        <v>22548</v>
      </c>
      <c r="E11" s="258">
        <v>25942</v>
      </c>
      <c r="F11" s="258">
        <v>20428</v>
      </c>
      <c r="G11" s="258">
        <v>27012</v>
      </c>
      <c r="H11" s="259">
        <v>29348</v>
      </c>
    </row>
    <row r="12" spans="2:8" s="25" customFormat="1" x14ac:dyDescent="0.35">
      <c r="B12" s="82" t="s">
        <v>2</v>
      </c>
      <c r="C12" s="260">
        <v>15201</v>
      </c>
      <c r="D12" s="260">
        <v>13706</v>
      </c>
      <c r="E12" s="260">
        <v>13940</v>
      </c>
      <c r="F12" s="260">
        <v>11292</v>
      </c>
      <c r="G12" s="260">
        <v>16270</v>
      </c>
      <c r="H12" s="261">
        <v>20157</v>
      </c>
    </row>
    <row r="13" spans="2:8" s="25" customFormat="1" x14ac:dyDescent="0.35">
      <c r="B13" s="251" t="s">
        <v>93</v>
      </c>
      <c r="C13" s="252">
        <v>252496</v>
      </c>
      <c r="D13" s="252">
        <v>252496</v>
      </c>
      <c r="E13" s="252">
        <v>244860</v>
      </c>
      <c r="F13" s="252">
        <v>243197</v>
      </c>
      <c r="G13" s="252">
        <v>254699</v>
      </c>
      <c r="H13" s="253">
        <v>260649</v>
      </c>
    </row>
    <row r="14" spans="2:8" s="25" customFormat="1" x14ac:dyDescent="0.35">
      <c r="B14" s="82" t="s">
        <v>94</v>
      </c>
      <c r="C14" s="260">
        <v>74669</v>
      </c>
      <c r="D14" s="260">
        <v>80925</v>
      </c>
      <c r="E14" s="260">
        <v>83861</v>
      </c>
      <c r="F14" s="260">
        <v>76693</v>
      </c>
      <c r="G14" s="260">
        <v>91891</v>
      </c>
      <c r="H14" s="261">
        <v>98123</v>
      </c>
    </row>
    <row r="15" spans="2:8" s="25" customFormat="1" x14ac:dyDescent="0.35">
      <c r="B15" s="251" t="s">
        <v>95</v>
      </c>
      <c r="C15" s="252">
        <v>51115</v>
      </c>
      <c r="D15" s="252">
        <v>44309</v>
      </c>
      <c r="E15" s="252">
        <v>34483</v>
      </c>
      <c r="F15" s="252">
        <v>37491</v>
      </c>
      <c r="G15" s="252">
        <v>36132</v>
      </c>
      <c r="H15" s="253">
        <v>34784</v>
      </c>
    </row>
    <row r="16" spans="2:8" s="25" customFormat="1" x14ac:dyDescent="0.35">
      <c r="B16" s="262" t="s">
        <v>70</v>
      </c>
      <c r="C16" s="105">
        <v>25255</v>
      </c>
      <c r="D16" s="105">
        <v>36074</v>
      </c>
      <c r="E16" s="105">
        <v>24181</v>
      </c>
      <c r="F16" s="105">
        <v>28841</v>
      </c>
      <c r="G16" s="105">
        <v>35726</v>
      </c>
      <c r="H16" s="263">
        <v>36443</v>
      </c>
    </row>
    <row r="17" spans="2:9" s="25" customFormat="1" x14ac:dyDescent="0.35">
      <c r="B17" s="264" t="s">
        <v>96</v>
      </c>
      <c r="C17" s="201">
        <v>10705</v>
      </c>
      <c r="D17" s="201">
        <v>10264</v>
      </c>
      <c r="E17" s="201">
        <v>13106</v>
      </c>
      <c r="F17" s="201">
        <v>16857</v>
      </c>
      <c r="G17" s="201">
        <v>20606</v>
      </c>
      <c r="H17" s="209">
        <v>23783</v>
      </c>
    </row>
    <row r="18" spans="2:9" s="25" customFormat="1" x14ac:dyDescent="0.35">
      <c r="B18" s="262" t="s">
        <v>91</v>
      </c>
      <c r="C18" s="105">
        <v>2410</v>
      </c>
      <c r="D18" s="105">
        <v>2194</v>
      </c>
      <c r="E18" s="105">
        <v>1836</v>
      </c>
      <c r="F18" s="105">
        <v>1874</v>
      </c>
      <c r="G18" s="105">
        <v>2137</v>
      </c>
      <c r="H18" s="263">
        <v>2245</v>
      </c>
    </row>
    <row r="19" spans="2:9" s="25" customFormat="1" x14ac:dyDescent="0.35">
      <c r="B19" s="265" t="s">
        <v>100</v>
      </c>
      <c r="C19" s="266">
        <v>20116</v>
      </c>
      <c r="D19" s="266">
        <v>20564</v>
      </c>
      <c r="E19" s="266">
        <v>18696</v>
      </c>
      <c r="F19" s="266">
        <v>17016</v>
      </c>
      <c r="G19" s="266">
        <v>21848</v>
      </c>
      <c r="H19" s="267">
        <v>26309</v>
      </c>
    </row>
    <row r="20" spans="2:9" s="25" customFormat="1" x14ac:dyDescent="0.35">
      <c r="B20" s="262" t="s">
        <v>101</v>
      </c>
      <c r="C20" s="105">
        <v>4915</v>
      </c>
      <c r="D20" s="105">
        <v>6858</v>
      </c>
      <c r="E20" s="105">
        <v>4756</v>
      </c>
      <c r="F20" s="105">
        <v>5724</v>
      </c>
      <c r="G20" s="105">
        <v>5578</v>
      </c>
      <c r="H20" s="263">
        <v>6152</v>
      </c>
    </row>
    <row r="21" spans="2:9" x14ac:dyDescent="0.35">
      <c r="B21" s="265" t="s">
        <v>120</v>
      </c>
      <c r="C21" s="266">
        <v>9465</v>
      </c>
      <c r="D21" s="266">
        <v>17741</v>
      </c>
      <c r="E21" s="266">
        <v>14760</v>
      </c>
      <c r="F21" s="266">
        <v>8625</v>
      </c>
      <c r="G21" s="266">
        <v>9867</v>
      </c>
      <c r="H21" s="267">
        <v>9037</v>
      </c>
    </row>
    <row r="22" spans="2:9" x14ac:dyDescent="0.35">
      <c r="B22" s="62"/>
      <c r="C22" s="63"/>
      <c r="D22" s="63"/>
      <c r="E22" s="63"/>
      <c r="F22" s="63"/>
      <c r="G22" s="63"/>
      <c r="H22" s="61"/>
    </row>
    <row r="23" spans="2:9" x14ac:dyDescent="0.35">
      <c r="B23" s="12" t="s">
        <v>47</v>
      </c>
    </row>
    <row r="24" spans="2:9" x14ac:dyDescent="0.35">
      <c r="B24" s="26"/>
      <c r="C24" s="26"/>
      <c r="D24" s="108"/>
      <c r="E24" s="108"/>
      <c r="F24" s="26"/>
      <c r="G24" s="26"/>
      <c r="H24" s="26"/>
      <c r="I24" s="26"/>
    </row>
    <row r="25" spans="2:9" x14ac:dyDescent="0.35">
      <c r="B25" s="114"/>
      <c r="C25" s="114"/>
      <c r="D25" s="114"/>
      <c r="E25" s="114"/>
      <c r="F25" s="114"/>
      <c r="G25" s="114"/>
      <c r="H25" s="114"/>
      <c r="I25" s="26"/>
    </row>
    <row r="26" spans="2:9" x14ac:dyDescent="0.35">
      <c r="B26" s="115"/>
      <c r="C26" s="116"/>
      <c r="D26" s="116"/>
      <c r="E26" s="116"/>
      <c r="F26" s="116"/>
      <c r="G26" s="116"/>
      <c r="H26" s="116"/>
      <c r="I26" s="26"/>
    </row>
    <row r="27" spans="2:9" x14ac:dyDescent="0.35">
      <c r="B27" s="112"/>
      <c r="C27" s="113"/>
      <c r="D27" s="70"/>
      <c r="E27" s="70"/>
      <c r="F27" s="70"/>
      <c r="G27" s="70"/>
      <c r="H27" s="70"/>
      <c r="I27" s="26"/>
    </row>
    <row r="28" spans="2:9" x14ac:dyDescent="0.35">
      <c r="B28" s="26"/>
      <c r="C28" s="26"/>
      <c r="D28" s="108"/>
      <c r="E28" s="108"/>
      <c r="F28" s="26"/>
      <c r="G28" s="26"/>
      <c r="H28" s="26"/>
      <c r="I28" s="26"/>
    </row>
    <row r="29" spans="2:9" x14ac:dyDescent="0.35">
      <c r="D29" s="94"/>
      <c r="E29" s="94"/>
    </row>
  </sheetData>
  <mergeCells count="3">
    <mergeCell ref="B7:H7"/>
    <mergeCell ref="B2:H3"/>
    <mergeCell ref="B4:H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C3BEE-C819-47AF-B7E2-A972A4DC74B1}">
  <sheetPr>
    <tabColor rgb="FF0070C0"/>
  </sheetPr>
  <dimension ref="A1:K68"/>
  <sheetViews>
    <sheetView showGridLines="0" zoomScale="68" workbookViewId="0">
      <selection activeCell="I59" sqref="I59"/>
    </sheetView>
  </sheetViews>
  <sheetFormatPr defaultRowHeight="14.5" x14ac:dyDescent="0.35"/>
  <cols>
    <col min="2" max="2" width="32.26953125" bestFit="1" customWidth="1"/>
    <col min="3" max="8" width="12.6328125" customWidth="1"/>
  </cols>
  <sheetData>
    <row r="1" spans="1:11" x14ac:dyDescent="0.35">
      <c r="A1" s="94"/>
      <c r="B1" s="94"/>
      <c r="C1" s="94"/>
      <c r="D1" s="94"/>
      <c r="E1" s="94"/>
      <c r="F1" s="94"/>
      <c r="G1" s="94"/>
      <c r="H1" s="94"/>
      <c r="I1" s="94"/>
      <c r="J1" s="94"/>
      <c r="K1" s="94"/>
    </row>
    <row r="2" spans="1:11" x14ac:dyDescent="0.35">
      <c r="A2" s="94"/>
      <c r="B2" s="94"/>
      <c r="C2" s="94"/>
      <c r="D2" s="94"/>
      <c r="E2" s="94"/>
      <c r="F2" s="94"/>
      <c r="G2" s="94"/>
      <c r="H2" s="94"/>
      <c r="I2" s="94"/>
      <c r="J2" s="94"/>
      <c r="K2" s="94"/>
    </row>
    <row r="3" spans="1:11" x14ac:dyDescent="0.35">
      <c r="A3" s="94"/>
      <c r="B3" s="32" t="s">
        <v>22</v>
      </c>
      <c r="C3" s="33"/>
      <c r="D3" s="33"/>
      <c r="E3" s="33"/>
      <c r="F3" s="33"/>
      <c r="G3" s="33"/>
      <c r="H3" s="34"/>
      <c r="I3" s="94"/>
      <c r="J3" s="94"/>
      <c r="K3" s="94"/>
    </row>
    <row r="4" spans="1:11" x14ac:dyDescent="0.35">
      <c r="A4" s="94"/>
      <c r="B4" s="35"/>
      <c r="C4" s="20"/>
      <c r="D4" s="20"/>
      <c r="E4" s="20"/>
      <c r="F4" s="20"/>
      <c r="G4" s="20"/>
      <c r="H4" s="36"/>
      <c r="I4" s="94"/>
      <c r="J4" s="94"/>
      <c r="K4" s="94"/>
    </row>
    <row r="5" spans="1:11" x14ac:dyDescent="0.35">
      <c r="A5" s="94"/>
      <c r="B5" s="37" t="s">
        <v>23</v>
      </c>
      <c r="C5" s="38"/>
      <c r="D5" s="38"/>
      <c r="E5" s="38"/>
      <c r="F5" s="38"/>
      <c r="G5" s="38"/>
      <c r="H5" s="39"/>
      <c r="I5" s="94"/>
      <c r="J5" s="94"/>
      <c r="K5" s="94"/>
    </row>
    <row r="6" spans="1:11" x14ac:dyDescent="0.35">
      <c r="A6" s="94"/>
      <c r="B6" s="216"/>
      <c r="C6" s="217"/>
      <c r="D6" s="217"/>
      <c r="E6" s="217"/>
      <c r="F6" s="217"/>
      <c r="G6" s="217"/>
      <c r="H6" s="218"/>
      <c r="I6" s="94"/>
      <c r="J6" s="94"/>
      <c r="K6" s="94"/>
    </row>
    <row r="7" spans="1:11" x14ac:dyDescent="0.35">
      <c r="A7" s="94"/>
      <c r="B7" s="40" t="s">
        <v>25</v>
      </c>
      <c r="C7" s="41">
        <v>2020</v>
      </c>
      <c r="D7" s="41">
        <v>2021</v>
      </c>
      <c r="E7" s="41">
        <v>2022</v>
      </c>
      <c r="F7" s="41">
        <v>2023</v>
      </c>
      <c r="G7" s="41">
        <v>2024</v>
      </c>
      <c r="H7" s="42">
        <v>2025</v>
      </c>
      <c r="I7" s="94"/>
      <c r="J7" s="94"/>
      <c r="K7" s="94"/>
    </row>
    <row r="8" spans="1:11" x14ac:dyDescent="0.35">
      <c r="A8" s="94"/>
      <c r="B8" s="43"/>
      <c r="C8" s="44"/>
      <c r="D8" s="44"/>
      <c r="E8" s="44"/>
      <c r="F8" s="44"/>
      <c r="G8" s="44"/>
      <c r="H8" s="45"/>
      <c r="I8" s="94"/>
      <c r="J8" s="94"/>
      <c r="K8" s="94"/>
    </row>
    <row r="9" spans="1:11" s="28" customFormat="1" ht="13" x14ac:dyDescent="0.3">
      <c r="A9" s="92"/>
      <c r="B9" s="46" t="s">
        <v>26</v>
      </c>
      <c r="C9" s="47">
        <f>'Raw Data'!C10/'Raw Data'!C8</f>
        <v>0.24688528219495995</v>
      </c>
      <c r="D9" s="47">
        <f>'Raw Data'!D10/'Raw Data'!D8</f>
        <v>0.24829786587165184</v>
      </c>
      <c r="E9" s="47">
        <f>'Raw Data'!E10/'Raw Data'!E8</f>
        <v>0.25098733487675334</v>
      </c>
      <c r="F9" s="47">
        <f>'Raw Data'!F10/'Raw Data'!F8</f>
        <v>0.24140463839525986</v>
      </c>
      <c r="G9" s="47">
        <f>'Raw Data'!G10/'Raw Data'!G8</f>
        <v>0.24731031822565092</v>
      </c>
      <c r="H9" s="48">
        <f>'Raw Data'!H10/'Raw Data'!H8</f>
        <v>0.24919785310983356</v>
      </c>
      <c r="I9" s="92"/>
      <c r="J9" s="92"/>
      <c r="K9" s="92"/>
    </row>
    <row r="10" spans="1:11" s="28" customFormat="1" ht="13" x14ac:dyDescent="0.3">
      <c r="A10" s="92"/>
      <c r="B10" s="49" t="s">
        <v>3</v>
      </c>
      <c r="C10" s="50">
        <f>'Raw Data'!C11/'Raw Data'!C8</f>
        <v>3.9254605278225219E-2</v>
      </c>
      <c r="D10" s="50">
        <f>'Raw Data'!D11/'Raw Data'!D8</f>
        <v>4.032542193432543E-2</v>
      </c>
      <c r="E10" s="50">
        <f>'Raw Data'!E11/'Raw Data'!E8</f>
        <v>4.5293441861602016E-2</v>
      </c>
      <c r="F10" s="50">
        <f>'Raw Data'!F11/'Raw Data'!F8</f>
        <v>3.3417908714208827E-2</v>
      </c>
      <c r="G10" s="50">
        <f>'Raw Data'!G11/'Raw Data'!G8</f>
        <v>4.16771456123433E-2</v>
      </c>
      <c r="H10" s="51">
        <f>'Raw Data'!H11/'Raw Data'!H8</f>
        <v>4.3096397130626962E-2</v>
      </c>
      <c r="I10" s="92"/>
      <c r="J10" s="92"/>
      <c r="K10" s="92"/>
    </row>
    <row r="11" spans="1:11" s="28" customFormat="1" ht="13" x14ac:dyDescent="0.3">
      <c r="A11" s="92"/>
      <c r="B11" s="52" t="s">
        <v>4</v>
      </c>
      <c r="C11" s="47">
        <f>'Raw Data'!C12/'Raw Data'!C8</f>
        <v>2.9011535143635823E-2</v>
      </c>
      <c r="D11" s="47">
        <f>'Raw Data'!D12/'Raw Data'!D8</f>
        <v>2.4512162188746869E-2</v>
      </c>
      <c r="E11" s="47">
        <f>'Raw Data'!E12/'Raw Data'!E8</f>
        <v>2.4338546740834636E-2</v>
      </c>
      <c r="F11" s="47">
        <f>'Raw Data'!F12/'Raw Data'!F8</f>
        <v>1.8472441022167909E-2</v>
      </c>
      <c r="G11" s="47">
        <f>'Raw Data'!G12/'Raw Data'!G8</f>
        <v>2.5103182256509159E-2</v>
      </c>
      <c r="H11" s="48">
        <f>'Raw Data'!H12/'Raw Data'!H8</f>
        <v>2.9599770920064317E-2</v>
      </c>
      <c r="I11" s="92"/>
      <c r="J11" s="92"/>
      <c r="K11" s="92"/>
    </row>
    <row r="12" spans="1:11" s="28" customFormat="1" ht="13" x14ac:dyDescent="0.3">
      <c r="A12" s="92"/>
      <c r="B12" s="53" t="s">
        <v>27</v>
      </c>
      <c r="C12" s="54">
        <f>'Raw Data'!C12/'Raw Data'!C13</f>
        <v>6.0202933907863888E-2</v>
      </c>
      <c r="D12" s="54">
        <f>'Raw Data'!D12/'Raw Data'!D13</f>
        <v>5.4282048032444082E-2</v>
      </c>
      <c r="E12" s="54">
        <f>'Raw Data'!E12/'Raw Data'!E13</f>
        <v>5.6930490892755044E-2</v>
      </c>
      <c r="F12" s="54">
        <f>'Raw Data'!F12/'Raw Data'!F13</f>
        <v>4.6431493809545345E-2</v>
      </c>
      <c r="G12" s="54">
        <f>'Raw Data'!G12/'Raw Data'!G13</f>
        <v>6.3879324221924702E-2</v>
      </c>
      <c r="H12" s="55">
        <f>'Raw Data'!H12/'Raw Data'!H13</f>
        <v>7.7333885800444271E-2</v>
      </c>
      <c r="I12" s="92"/>
      <c r="J12" s="92"/>
      <c r="K12" s="92"/>
    </row>
    <row r="13" spans="1:11" s="28" customFormat="1" ht="13" x14ac:dyDescent="0.3">
      <c r="A13" s="92"/>
      <c r="B13" s="52" t="s">
        <v>28</v>
      </c>
      <c r="C13" s="47">
        <f>'Raw Data'!C12/'Raw Data'!C14</f>
        <v>0.20357845960170887</v>
      </c>
      <c r="D13" s="47">
        <f>'Raw Data'!D12/'Raw Data'!D14</f>
        <v>0.16936669755946865</v>
      </c>
      <c r="E13" s="47">
        <f>'Raw Data'!E12/'Raw Data'!E14</f>
        <v>0.16622744780052706</v>
      </c>
      <c r="F13" s="47">
        <f>'Raw Data'!F12/'Raw Data'!F14</f>
        <v>0.14723638402461764</v>
      </c>
      <c r="G13" s="47">
        <f>'Raw Data'!G12/'Raw Data'!G14</f>
        <v>0.17705760085318475</v>
      </c>
      <c r="H13" s="48">
        <f>'Raw Data'!H12/'Raw Data'!H14</f>
        <v>0.20542584307450854</v>
      </c>
      <c r="I13" s="92"/>
      <c r="J13" s="92"/>
      <c r="K13" s="92"/>
    </row>
    <row r="14" spans="1:11" s="28" customFormat="1" ht="13" x14ac:dyDescent="0.3">
      <c r="A14" s="92"/>
      <c r="B14" s="49" t="s">
        <v>97</v>
      </c>
      <c r="C14" s="50">
        <f>'Raw Data'!C15/'Raw Data'!C14</f>
        <v>0.68455450052900135</v>
      </c>
      <c r="D14" s="50">
        <f>'Raw Data'!D15/'Raw Data'!D14</f>
        <v>0.54753166512202656</v>
      </c>
      <c r="E14" s="50">
        <f>'Raw Data'!E15/'Raw Data'!E14</f>
        <v>0.41119233016539275</v>
      </c>
      <c r="F14" s="50">
        <f>'Raw Data'!F15/'Raw Data'!F14</f>
        <v>0.48884513580118133</v>
      </c>
      <c r="G14" s="50">
        <f>'Raw Data'!G15/'Raw Data'!G14</f>
        <v>0.39320499287198962</v>
      </c>
      <c r="H14" s="51">
        <f>'Raw Data'!H15/'Raw Data'!H14</f>
        <v>0.3544938495561693</v>
      </c>
      <c r="I14" s="92"/>
      <c r="J14" s="92"/>
      <c r="K14" s="92"/>
    </row>
    <row r="15" spans="1:11" x14ac:dyDescent="0.35">
      <c r="A15" s="94"/>
      <c r="B15" s="219"/>
      <c r="C15" s="57"/>
      <c r="D15" s="57"/>
      <c r="E15" s="57"/>
      <c r="F15" s="57"/>
      <c r="G15" s="57"/>
      <c r="H15" s="58"/>
      <c r="I15" s="94"/>
      <c r="J15" s="94"/>
      <c r="K15" s="94"/>
    </row>
    <row r="16" spans="1:11" x14ac:dyDescent="0.35">
      <c r="A16" s="94"/>
      <c r="B16" s="96" t="s">
        <v>47</v>
      </c>
      <c r="C16" s="56"/>
      <c r="D16" s="56"/>
      <c r="E16" s="56"/>
      <c r="F16" s="56"/>
      <c r="G16" s="56"/>
      <c r="H16" s="56"/>
      <c r="I16" s="94"/>
      <c r="J16" s="94"/>
      <c r="K16" s="94"/>
    </row>
    <row r="17" spans="1:11" x14ac:dyDescent="0.35">
      <c r="A17" s="94"/>
      <c r="B17" s="96"/>
      <c r="C17" s="56"/>
      <c r="D17" s="56"/>
      <c r="E17" s="56"/>
      <c r="F17" s="56"/>
      <c r="G17" s="56"/>
      <c r="H17" s="56"/>
      <c r="I17" s="94"/>
      <c r="J17" s="94"/>
      <c r="K17" s="94"/>
    </row>
    <row r="18" spans="1:11" x14ac:dyDescent="0.35">
      <c r="A18" s="94"/>
      <c r="B18" s="96"/>
      <c r="C18" s="56"/>
      <c r="D18" s="56"/>
      <c r="E18" s="56"/>
      <c r="F18" s="56"/>
      <c r="G18" s="56"/>
      <c r="H18" s="56"/>
      <c r="I18" s="94"/>
      <c r="J18" s="94"/>
      <c r="K18" s="94"/>
    </row>
    <row r="19" spans="1:11" x14ac:dyDescent="0.35">
      <c r="A19" s="94"/>
      <c r="B19" s="96"/>
      <c r="C19" s="56"/>
      <c r="D19" s="56"/>
      <c r="E19" s="56"/>
      <c r="F19" s="56"/>
      <c r="G19" s="56"/>
      <c r="H19" s="56"/>
      <c r="I19" s="94"/>
      <c r="J19" s="94"/>
      <c r="K19" s="94"/>
    </row>
    <row r="20" spans="1:11" x14ac:dyDescent="0.35">
      <c r="A20" s="94"/>
      <c r="B20" s="94"/>
      <c r="C20" s="94"/>
      <c r="D20" s="94"/>
      <c r="E20" s="94"/>
      <c r="F20" s="94"/>
      <c r="G20" s="94"/>
      <c r="H20" s="94"/>
      <c r="I20" s="94"/>
      <c r="J20" s="94"/>
      <c r="K20" s="94"/>
    </row>
    <row r="21" spans="1:11" x14ac:dyDescent="0.35">
      <c r="A21" s="94"/>
      <c r="B21" s="32" t="s">
        <v>71</v>
      </c>
      <c r="C21" s="33"/>
      <c r="D21" s="33"/>
      <c r="E21" s="33"/>
      <c r="F21" s="33"/>
      <c r="G21" s="33"/>
      <c r="H21" s="34"/>
      <c r="I21" s="94"/>
      <c r="J21" s="94"/>
      <c r="K21" s="94"/>
    </row>
    <row r="22" spans="1:11" x14ac:dyDescent="0.35">
      <c r="A22" s="94"/>
      <c r="B22" s="35"/>
      <c r="C22" s="20"/>
      <c r="D22" s="20"/>
      <c r="E22" s="20"/>
      <c r="F22" s="20"/>
      <c r="G22" s="20"/>
      <c r="H22" s="36"/>
      <c r="I22" s="94"/>
      <c r="J22" s="94"/>
      <c r="K22" s="94"/>
    </row>
    <row r="23" spans="1:11" x14ac:dyDescent="0.35">
      <c r="A23" s="94"/>
      <c r="B23" s="37" t="s">
        <v>72</v>
      </c>
      <c r="C23" s="38"/>
      <c r="D23" s="38"/>
      <c r="E23" s="38"/>
      <c r="F23" s="38"/>
      <c r="G23" s="38"/>
      <c r="H23" s="39"/>
      <c r="I23" s="94"/>
      <c r="J23" s="94"/>
      <c r="K23" s="94"/>
    </row>
    <row r="24" spans="1:11" x14ac:dyDescent="0.35">
      <c r="A24" s="94"/>
      <c r="B24" s="216"/>
      <c r="C24" s="217"/>
      <c r="D24" s="217"/>
      <c r="E24" s="217"/>
      <c r="F24" s="217"/>
      <c r="G24" s="217"/>
      <c r="H24" s="218"/>
      <c r="I24" s="94"/>
      <c r="J24" s="94"/>
      <c r="K24" s="94"/>
    </row>
    <row r="25" spans="1:11" x14ac:dyDescent="0.35">
      <c r="A25" s="94"/>
      <c r="B25" s="203" t="s">
        <v>74</v>
      </c>
      <c r="C25" s="204">
        <v>2020</v>
      </c>
      <c r="D25" s="204">
        <v>2021</v>
      </c>
      <c r="E25" s="204">
        <v>2022</v>
      </c>
      <c r="F25" s="204">
        <v>2023</v>
      </c>
      <c r="G25" s="204">
        <v>2024</v>
      </c>
      <c r="H25" s="205">
        <v>2025</v>
      </c>
      <c r="I25" s="94"/>
      <c r="J25" s="94"/>
      <c r="K25" s="94"/>
    </row>
    <row r="26" spans="1:11" x14ac:dyDescent="0.35">
      <c r="A26" s="94"/>
      <c r="B26" s="43"/>
      <c r="C26" s="44"/>
      <c r="D26" s="44"/>
      <c r="E26" s="44"/>
      <c r="F26" s="44"/>
      <c r="G26" s="44"/>
      <c r="H26" s="45"/>
      <c r="I26" s="94"/>
      <c r="J26" s="94"/>
      <c r="K26" s="94"/>
    </row>
    <row r="27" spans="1:11" s="29" customFormat="1" ht="13" x14ac:dyDescent="0.3">
      <c r="A27" s="97"/>
      <c r="B27" s="67" t="s">
        <v>73</v>
      </c>
      <c r="C27" s="68">
        <f>'Raw Data'!C16-'Raw Data'!C17</f>
        <v>14550</v>
      </c>
      <c r="D27" s="107">
        <f>'Raw Data'!D16-'Raw Data'!D17</f>
        <v>25810</v>
      </c>
      <c r="E27" s="107">
        <f>'Raw Data'!E16-'Raw Data'!E17</f>
        <v>11075</v>
      </c>
      <c r="F27" s="107">
        <f>'Raw Data'!F16-'Raw Data'!F17</f>
        <v>11984</v>
      </c>
      <c r="G27" s="107">
        <f>'Raw Data'!G16-'Raw Data'!G17</f>
        <v>15120</v>
      </c>
      <c r="H27" s="220">
        <f>'Raw Data'!H16-'Raw Data'!H17</f>
        <v>12660</v>
      </c>
      <c r="I27" s="97"/>
      <c r="J27" s="97"/>
      <c r="K27" s="97"/>
    </row>
    <row r="28" spans="1:11" x14ac:dyDescent="0.35">
      <c r="A28" s="94"/>
      <c r="B28" s="62"/>
      <c r="C28" s="63"/>
      <c r="D28" s="63"/>
      <c r="E28" s="221"/>
      <c r="F28" s="221"/>
      <c r="G28" s="221"/>
      <c r="H28" s="222"/>
      <c r="I28" s="99"/>
      <c r="J28" s="94"/>
      <c r="K28" s="94"/>
    </row>
    <row r="29" spans="1:11" x14ac:dyDescent="0.35">
      <c r="A29" s="98"/>
      <c r="B29" s="70"/>
      <c r="C29" s="70"/>
      <c r="D29" s="70"/>
      <c r="E29" s="70"/>
      <c r="F29" s="70"/>
      <c r="G29" s="70"/>
      <c r="H29" s="70"/>
      <c r="I29" s="99"/>
      <c r="J29" s="94"/>
      <c r="K29" s="94"/>
    </row>
    <row r="30" spans="1:11" x14ac:dyDescent="0.35">
      <c r="A30" s="94"/>
      <c r="B30" s="203" t="s">
        <v>75</v>
      </c>
      <c r="C30" s="204" t="s">
        <v>81</v>
      </c>
      <c r="D30" s="213" t="s">
        <v>82</v>
      </c>
      <c r="E30" s="213"/>
      <c r="F30" s="213"/>
      <c r="G30" s="213"/>
      <c r="H30" s="223"/>
      <c r="I30" s="99"/>
      <c r="J30" s="94"/>
      <c r="K30" s="94"/>
    </row>
    <row r="31" spans="1:11" x14ac:dyDescent="0.35">
      <c r="A31" s="94"/>
      <c r="B31" s="69"/>
      <c r="C31" s="70"/>
      <c r="D31" s="70"/>
      <c r="E31" s="70"/>
      <c r="F31" s="70"/>
      <c r="G31" s="70"/>
      <c r="H31" s="224"/>
      <c r="I31" s="99"/>
      <c r="J31" s="94"/>
      <c r="K31" s="94"/>
    </row>
    <row r="32" spans="1:11" s="30" customFormat="1" ht="13" x14ac:dyDescent="0.3">
      <c r="A32" s="100"/>
      <c r="B32" s="71" t="s">
        <v>80</v>
      </c>
      <c r="C32" s="72">
        <v>4.3799999999999999E-2</v>
      </c>
      <c r="D32" s="73" t="s">
        <v>83</v>
      </c>
      <c r="E32" s="73"/>
      <c r="F32" s="73"/>
      <c r="G32" s="73"/>
      <c r="H32" s="225"/>
      <c r="I32" s="100"/>
      <c r="J32" s="100"/>
      <c r="K32" s="100"/>
    </row>
    <row r="33" spans="1:11" s="31" customFormat="1" ht="13" x14ac:dyDescent="0.3">
      <c r="A33" s="101"/>
      <c r="B33" s="74" t="s">
        <v>84</v>
      </c>
      <c r="C33" s="75">
        <v>0.6</v>
      </c>
      <c r="D33" s="76" t="s">
        <v>85</v>
      </c>
      <c r="E33" s="76"/>
      <c r="F33" s="76"/>
      <c r="G33" s="76"/>
      <c r="H33" s="226"/>
      <c r="I33" s="101"/>
      <c r="J33" s="101"/>
      <c r="K33" s="101"/>
    </row>
    <row r="34" spans="1:11" s="30" customFormat="1" ht="13" x14ac:dyDescent="0.3">
      <c r="A34" s="100"/>
      <c r="B34" s="71" t="s">
        <v>86</v>
      </c>
      <c r="C34" s="72">
        <v>4.2299999999999997E-2</v>
      </c>
      <c r="D34" s="73" t="s">
        <v>87</v>
      </c>
      <c r="E34" s="73"/>
      <c r="F34" s="73"/>
      <c r="G34" s="73"/>
      <c r="H34" s="225"/>
      <c r="I34" s="100"/>
      <c r="J34" s="100"/>
      <c r="K34" s="100"/>
    </row>
    <row r="35" spans="1:11" s="30" customFormat="1" ht="13" x14ac:dyDescent="0.3">
      <c r="A35" s="100"/>
      <c r="B35" s="77" t="s">
        <v>88</v>
      </c>
      <c r="C35" s="78">
        <f>C32+C33*C34</f>
        <v>6.9179999999999992E-2</v>
      </c>
      <c r="D35" s="79" t="s">
        <v>89</v>
      </c>
      <c r="E35" s="79"/>
      <c r="F35" s="79"/>
      <c r="G35" s="79"/>
      <c r="H35" s="227"/>
      <c r="I35" s="100"/>
      <c r="J35" s="100"/>
      <c r="K35" s="100"/>
    </row>
    <row r="36" spans="1:11" s="30" customFormat="1" ht="13" x14ac:dyDescent="0.3">
      <c r="A36" s="100"/>
      <c r="B36" s="71" t="s">
        <v>90</v>
      </c>
      <c r="C36" s="80">
        <f>'Raw Data'!C18/'Raw Data'!C15</f>
        <v>4.7148586520590827E-2</v>
      </c>
      <c r="D36" s="81" t="s">
        <v>98</v>
      </c>
      <c r="E36" s="81"/>
      <c r="F36" s="81"/>
      <c r="G36" s="81"/>
      <c r="H36" s="228"/>
      <c r="I36" s="102"/>
      <c r="J36" s="100"/>
      <c r="K36" s="100"/>
    </row>
    <row r="37" spans="1:11" s="30" customFormat="1" ht="13" x14ac:dyDescent="0.3">
      <c r="A37" s="100"/>
      <c r="B37" s="77" t="s">
        <v>99</v>
      </c>
      <c r="C37" s="78">
        <f>'Raw Data'!C20/'Raw Data'!C19</f>
        <v>0.24433286935772519</v>
      </c>
      <c r="D37" s="79" t="s">
        <v>102</v>
      </c>
      <c r="E37" s="79"/>
      <c r="F37" s="79"/>
      <c r="G37" s="79"/>
      <c r="H37" s="227"/>
      <c r="I37" s="102"/>
      <c r="J37" s="100"/>
      <c r="K37" s="100"/>
    </row>
    <row r="38" spans="1:11" s="28" customFormat="1" ht="13" x14ac:dyDescent="0.3">
      <c r="A38" s="92"/>
      <c r="B38" s="82" t="s">
        <v>103</v>
      </c>
      <c r="C38" s="83">
        <v>114.75</v>
      </c>
      <c r="D38" s="84" t="s">
        <v>105</v>
      </c>
      <c r="E38" s="85"/>
      <c r="F38" s="85"/>
      <c r="G38" s="85"/>
      <c r="H38" s="229"/>
      <c r="I38" s="92"/>
      <c r="J38" s="92"/>
      <c r="K38" s="92"/>
    </row>
    <row r="39" spans="1:11" s="31" customFormat="1" ht="13" x14ac:dyDescent="0.3">
      <c r="A39" s="101"/>
      <c r="B39" s="86" t="s">
        <v>104</v>
      </c>
      <c r="C39" s="87">
        <v>8017</v>
      </c>
      <c r="D39" s="88" t="s">
        <v>106</v>
      </c>
      <c r="E39" s="88"/>
      <c r="F39" s="88"/>
      <c r="G39" s="88"/>
      <c r="H39" s="230"/>
      <c r="I39" s="101"/>
      <c r="J39" s="101"/>
      <c r="K39" s="101"/>
    </row>
    <row r="40" spans="1:11" s="31" customFormat="1" ht="13" x14ac:dyDescent="0.3">
      <c r="A40" s="101"/>
      <c r="B40" s="82" t="s">
        <v>107</v>
      </c>
      <c r="C40" s="89">
        <f>C39*C38</f>
        <v>919950.75</v>
      </c>
      <c r="D40" s="90" t="s">
        <v>102</v>
      </c>
      <c r="E40" s="90"/>
      <c r="F40" s="90"/>
      <c r="G40" s="90"/>
      <c r="H40" s="231"/>
      <c r="I40" s="101"/>
      <c r="J40" s="101"/>
      <c r="K40" s="101"/>
    </row>
    <row r="41" spans="1:11" s="27" customFormat="1" x14ac:dyDescent="0.35">
      <c r="A41" s="200"/>
      <c r="B41" s="77" t="s">
        <v>108</v>
      </c>
      <c r="C41" s="78">
        <f>'Raw Data'!H15/('Raw Data'!H15+'Ratios &amp; Calculations'!C40)</f>
        <v>3.6433155910581445E-2</v>
      </c>
      <c r="D41" s="79" t="s">
        <v>102</v>
      </c>
      <c r="E41" s="79"/>
      <c r="F41" s="79"/>
      <c r="G41" s="79"/>
      <c r="H41" s="227"/>
      <c r="I41" s="100"/>
      <c r="J41" s="200"/>
      <c r="K41" s="200"/>
    </row>
    <row r="42" spans="1:11" s="27" customFormat="1" x14ac:dyDescent="0.35">
      <c r="A42" s="200"/>
      <c r="B42" s="71" t="s">
        <v>109</v>
      </c>
      <c r="C42" s="80">
        <f>C40/('Raw Data'!H15+'Ratios &amp; Calculations'!C40)</f>
        <v>0.96356684408941851</v>
      </c>
      <c r="D42" s="81" t="s">
        <v>102</v>
      </c>
      <c r="E42" s="81"/>
      <c r="F42" s="81"/>
      <c r="G42" s="81"/>
      <c r="H42" s="228"/>
      <c r="I42" s="100"/>
      <c r="J42" s="200"/>
      <c r="K42" s="200"/>
    </row>
    <row r="43" spans="1:11" s="27" customFormat="1" x14ac:dyDescent="0.35">
      <c r="A43" s="200"/>
      <c r="B43" s="77" t="s">
        <v>76</v>
      </c>
      <c r="C43" s="78">
        <f>(C42*C35)+(C41*C36*(1-C37))</f>
        <v>6.7957617964082145E-2</v>
      </c>
      <c r="D43" s="79" t="s">
        <v>111</v>
      </c>
      <c r="E43" s="79"/>
      <c r="F43" s="79"/>
      <c r="G43" s="79"/>
      <c r="H43" s="227"/>
      <c r="I43" s="100"/>
      <c r="J43" s="200"/>
      <c r="K43" s="200"/>
    </row>
    <row r="44" spans="1:11" s="27" customFormat="1" x14ac:dyDescent="0.35">
      <c r="A44" s="200"/>
      <c r="B44" s="71" t="s">
        <v>110</v>
      </c>
      <c r="C44" s="80">
        <f>(H27/C27)^(1/5)-1</f>
        <v>-2.7445063762155275E-2</v>
      </c>
      <c r="D44" s="81" t="s">
        <v>102</v>
      </c>
      <c r="E44" s="81"/>
      <c r="F44" s="81"/>
      <c r="G44" s="81"/>
      <c r="H44" s="228"/>
      <c r="I44" s="100"/>
      <c r="J44" s="200"/>
      <c r="K44" s="200"/>
    </row>
    <row r="45" spans="1:11" s="27" customFormat="1" x14ac:dyDescent="0.35">
      <c r="A45" s="200"/>
      <c r="B45" s="232" t="s">
        <v>77</v>
      </c>
      <c r="C45" s="198">
        <v>7.4999999999999997E-2</v>
      </c>
      <c r="D45" s="199" t="s">
        <v>112</v>
      </c>
      <c r="E45" s="199"/>
      <c r="F45" s="199"/>
      <c r="G45" s="199"/>
      <c r="H45" s="233"/>
      <c r="I45" s="100"/>
      <c r="J45" s="200"/>
      <c r="K45" s="200"/>
    </row>
    <row r="46" spans="1:11" s="27" customFormat="1" x14ac:dyDescent="0.35">
      <c r="A46" s="200"/>
      <c r="B46" s="232" t="s">
        <v>78</v>
      </c>
      <c r="C46" s="198">
        <v>2.5000000000000001E-2</v>
      </c>
      <c r="D46" s="199" t="s">
        <v>112</v>
      </c>
      <c r="E46" s="199"/>
      <c r="F46" s="199"/>
      <c r="G46" s="199"/>
      <c r="H46" s="233"/>
      <c r="I46" s="100"/>
      <c r="J46" s="200"/>
      <c r="K46" s="200"/>
    </row>
    <row r="47" spans="1:11" x14ac:dyDescent="0.35">
      <c r="A47" s="94"/>
      <c r="B47" s="234"/>
      <c r="C47" s="235"/>
      <c r="D47" s="235"/>
      <c r="E47" s="235"/>
      <c r="F47" s="235"/>
      <c r="G47" s="235"/>
      <c r="H47" s="236"/>
      <c r="I47" s="92"/>
      <c r="J47" s="94"/>
      <c r="K47" s="94"/>
    </row>
    <row r="48" spans="1:11" x14ac:dyDescent="0.35">
      <c r="A48" s="94"/>
      <c r="B48" s="94"/>
      <c r="C48" s="94"/>
      <c r="D48" s="94"/>
      <c r="E48" s="94"/>
      <c r="F48" s="94"/>
      <c r="G48" s="94"/>
      <c r="H48" s="94"/>
      <c r="I48" s="94"/>
      <c r="J48" s="94"/>
      <c r="K48" s="94"/>
    </row>
    <row r="49" spans="1:11" x14ac:dyDescent="0.35">
      <c r="A49" s="94"/>
      <c r="B49" s="203" t="s">
        <v>143</v>
      </c>
      <c r="C49" s="204">
        <v>2026</v>
      </c>
      <c r="D49" s="204">
        <v>2027</v>
      </c>
      <c r="E49" s="204">
        <v>2028</v>
      </c>
      <c r="F49" s="204">
        <v>2029</v>
      </c>
      <c r="G49" s="204">
        <v>2030</v>
      </c>
      <c r="H49" s="205"/>
      <c r="I49" s="94"/>
      <c r="J49" s="94"/>
      <c r="K49" s="94"/>
    </row>
    <row r="50" spans="1:11" x14ac:dyDescent="0.35">
      <c r="A50" s="94"/>
      <c r="B50" s="93"/>
      <c r="C50" s="94"/>
      <c r="D50" s="94"/>
      <c r="E50" s="94"/>
      <c r="F50" s="94"/>
      <c r="G50" s="94"/>
      <c r="H50" s="60"/>
      <c r="I50" s="94"/>
      <c r="J50" s="94"/>
      <c r="K50" s="94"/>
    </row>
    <row r="51" spans="1:11" s="24" customFormat="1" x14ac:dyDescent="0.35">
      <c r="A51" s="106"/>
      <c r="B51" s="206" t="s">
        <v>115</v>
      </c>
      <c r="C51" s="242">
        <f>H27*(1+$C$45)</f>
        <v>13609.5</v>
      </c>
      <c r="D51" s="243">
        <f>C51*(1+$C$45)</f>
        <v>14630.2125</v>
      </c>
      <c r="E51" s="243">
        <f t="shared" ref="E51:G51" si="0">D51*(1+$C$45)</f>
        <v>15727.478437499998</v>
      </c>
      <c r="F51" s="243">
        <f t="shared" si="0"/>
        <v>16907.039320312499</v>
      </c>
      <c r="G51" s="243">
        <f t="shared" si="0"/>
        <v>18175.067269335934</v>
      </c>
      <c r="H51" s="238"/>
      <c r="I51" s="106"/>
      <c r="J51" s="106"/>
      <c r="K51" s="106"/>
    </row>
    <row r="52" spans="1:11" x14ac:dyDescent="0.35">
      <c r="A52" s="104"/>
      <c r="B52" s="103" t="s">
        <v>116</v>
      </c>
      <c r="C52" s="244">
        <f>1/(1+$C$43)^1</f>
        <v>0.9363667463755404</v>
      </c>
      <c r="D52" s="244">
        <f>1/(1+$C$43)^2</f>
        <v>0.87678268371791557</v>
      </c>
      <c r="E52" s="244">
        <f>1/(1+$C$43)^3</f>
        <v>0.82099014883135912</v>
      </c>
      <c r="F52" s="244">
        <f>1/(1+$C$43)^4</f>
        <v>0.7687478744675903</v>
      </c>
      <c r="G52" s="244">
        <f>1/(1+$C$43)^5</f>
        <v>0.71982994599832983</v>
      </c>
      <c r="H52" s="245"/>
      <c r="I52" s="94"/>
      <c r="J52" s="94"/>
      <c r="K52" s="94"/>
    </row>
    <row r="53" spans="1:11" ht="15" thickBot="1" x14ac:dyDescent="0.4">
      <c r="A53" s="104"/>
      <c r="B53" s="207" t="s">
        <v>142</v>
      </c>
      <c r="C53" s="242">
        <f>C51*C52</f>
        <v>12743.483234797917</v>
      </c>
      <c r="D53" s="243">
        <f t="shared" ref="D53:G53" si="1">D51*D52</f>
        <v>12827.516979113394</v>
      </c>
      <c r="E53" s="243">
        <f t="shared" si="1"/>
        <v>12912.104863145114</v>
      </c>
      <c r="F53" s="243">
        <f>F51*F52</f>
        <v>12997.250541030206</v>
      </c>
      <c r="G53" s="243">
        <f t="shared" si="1"/>
        <v>13082.957691002097</v>
      </c>
      <c r="H53" s="246">
        <f>SUM(C53:G53)</f>
        <v>64563.313309088728</v>
      </c>
      <c r="I53" s="94"/>
      <c r="J53" s="94"/>
      <c r="K53" s="94"/>
    </row>
    <row r="54" spans="1:11" ht="15" thickTop="1" x14ac:dyDescent="0.35">
      <c r="A54" s="104"/>
      <c r="B54" s="62"/>
      <c r="C54" s="63"/>
      <c r="D54" s="210"/>
      <c r="E54" s="210"/>
      <c r="F54" s="210"/>
      <c r="G54" s="210"/>
      <c r="H54" s="211"/>
      <c r="I54" s="94"/>
      <c r="J54" s="94"/>
      <c r="K54" s="94"/>
    </row>
    <row r="55" spans="1:11" x14ac:dyDescent="0.35">
      <c r="A55" s="104"/>
      <c r="D55" s="202"/>
      <c r="E55" s="202"/>
      <c r="F55" s="202"/>
      <c r="G55" s="202"/>
      <c r="H55" s="202"/>
      <c r="I55" s="108"/>
      <c r="J55" s="94"/>
      <c r="K55" s="94"/>
    </row>
    <row r="56" spans="1:11" x14ac:dyDescent="0.35">
      <c r="A56" s="94"/>
      <c r="D56" s="94"/>
      <c r="E56" s="108"/>
      <c r="F56" s="108"/>
      <c r="G56" s="108"/>
      <c r="H56" s="108"/>
      <c r="I56" s="108"/>
      <c r="J56" s="94"/>
      <c r="K56" s="94"/>
    </row>
    <row r="57" spans="1:11" x14ac:dyDescent="0.35">
      <c r="A57" s="94"/>
      <c r="B57" s="212" t="s">
        <v>79</v>
      </c>
      <c r="C57" s="223"/>
      <c r="D57" s="94"/>
      <c r="E57" s="94"/>
      <c r="F57" s="94"/>
      <c r="G57" s="94"/>
      <c r="H57" s="94"/>
      <c r="I57" s="94"/>
      <c r="J57" s="94"/>
      <c r="K57" s="94"/>
    </row>
    <row r="58" spans="1:11" x14ac:dyDescent="0.35">
      <c r="A58" s="94"/>
      <c r="B58" s="93"/>
      <c r="C58" s="237"/>
      <c r="D58" s="94"/>
      <c r="H58" s="94"/>
      <c r="I58" s="94"/>
      <c r="J58" s="94"/>
      <c r="K58" s="94"/>
    </row>
    <row r="59" spans="1:11" x14ac:dyDescent="0.35">
      <c r="A59" s="94"/>
      <c r="B59" s="207" t="s">
        <v>117</v>
      </c>
      <c r="C59" s="238">
        <f>G51*(1+$C$46)/($C$43-$C$46)</f>
        <v>433670.32051557978</v>
      </c>
      <c r="D59" s="94"/>
      <c r="E59" s="94"/>
      <c r="F59" s="94"/>
      <c r="G59" s="94"/>
      <c r="H59" s="94"/>
      <c r="I59" s="94"/>
      <c r="J59" s="94"/>
      <c r="K59" s="94"/>
    </row>
    <row r="60" spans="1:11" x14ac:dyDescent="0.35">
      <c r="A60" s="94"/>
      <c r="B60" s="215" t="s">
        <v>118</v>
      </c>
      <c r="C60" s="239">
        <f>C59/(1+C43)^5</f>
        <v>312168.88339780818</v>
      </c>
      <c r="D60" s="94"/>
      <c r="H60" s="94"/>
      <c r="I60" s="94"/>
      <c r="J60" s="94"/>
      <c r="K60" s="94"/>
    </row>
    <row r="61" spans="1:11" x14ac:dyDescent="0.35">
      <c r="B61" s="214" t="s">
        <v>119</v>
      </c>
      <c r="C61" s="238">
        <f>H53+C60</f>
        <v>376732.19670689688</v>
      </c>
      <c r="D61" s="94"/>
      <c r="E61" s="201"/>
      <c r="F61" s="201"/>
      <c r="G61" s="201"/>
      <c r="H61" s="94"/>
      <c r="I61" s="94"/>
      <c r="J61" s="94"/>
      <c r="K61" s="94"/>
    </row>
    <row r="62" spans="1:11" x14ac:dyDescent="0.35">
      <c r="B62" s="93" t="s">
        <v>121</v>
      </c>
      <c r="C62" s="240">
        <f>'Raw Data'!H15-'Raw Data'!H21</f>
        <v>25747</v>
      </c>
      <c r="D62" s="94"/>
      <c r="E62" s="94"/>
      <c r="F62" s="94"/>
      <c r="G62" s="94"/>
      <c r="H62" s="94"/>
      <c r="I62" s="94"/>
      <c r="J62" s="94"/>
      <c r="K62" s="94"/>
    </row>
    <row r="63" spans="1:11" x14ac:dyDescent="0.35">
      <c r="B63" s="214" t="s">
        <v>122</v>
      </c>
      <c r="C63" s="238">
        <f>C61-C62</f>
        <v>350985.19670689688</v>
      </c>
      <c r="D63" s="94"/>
      <c r="E63" s="94"/>
      <c r="F63" s="94"/>
      <c r="G63" s="94"/>
      <c r="H63" s="94"/>
      <c r="I63" s="94"/>
    </row>
    <row r="64" spans="1:11" x14ac:dyDescent="0.35">
      <c r="B64" s="208" t="s">
        <v>124</v>
      </c>
      <c r="C64" s="354">
        <f>C63/C39</f>
        <v>43.78011684007695</v>
      </c>
      <c r="D64" s="94"/>
      <c r="E64" s="94"/>
      <c r="F64" s="94"/>
      <c r="G64" s="94"/>
      <c r="H64" s="94"/>
      <c r="I64" s="94"/>
    </row>
    <row r="65" spans="2:5" x14ac:dyDescent="0.35">
      <c r="B65" s="214" t="s">
        <v>125</v>
      </c>
      <c r="C65" s="248">
        <f>C38</f>
        <v>114.75</v>
      </c>
      <c r="D65" s="94"/>
      <c r="E65" s="94"/>
    </row>
    <row r="66" spans="2:5" x14ac:dyDescent="0.35">
      <c r="B66" s="208" t="s">
        <v>126</v>
      </c>
      <c r="C66" s="241">
        <f>(C64-C65)/C65</f>
        <v>-0.61847392731959094</v>
      </c>
    </row>
    <row r="67" spans="2:5" x14ac:dyDescent="0.35">
      <c r="B67" s="62"/>
      <c r="C67" s="61"/>
    </row>
    <row r="68" spans="2:5" x14ac:dyDescent="0.35">
      <c r="B68" s="247" t="s">
        <v>47</v>
      </c>
      <c r="C68" s="247"/>
      <c r="D68" s="247"/>
    </row>
  </sheetData>
  <mergeCells count="24">
    <mergeCell ref="D46:H46"/>
    <mergeCell ref="B57:C57"/>
    <mergeCell ref="B68:D68"/>
    <mergeCell ref="D41:H41"/>
    <mergeCell ref="D42:H42"/>
    <mergeCell ref="D45:H45"/>
    <mergeCell ref="D44:H44"/>
    <mergeCell ref="D43:H43"/>
    <mergeCell ref="D36:H36"/>
    <mergeCell ref="D37:H37"/>
    <mergeCell ref="D39:H39"/>
    <mergeCell ref="D38:H38"/>
    <mergeCell ref="D40:H40"/>
    <mergeCell ref="B26:H26"/>
    <mergeCell ref="D30:H30"/>
    <mergeCell ref="D32:H32"/>
    <mergeCell ref="D33:H33"/>
    <mergeCell ref="D34:H34"/>
    <mergeCell ref="D35:H35"/>
    <mergeCell ref="B3:H4"/>
    <mergeCell ref="B5:H6"/>
    <mergeCell ref="B8:H8"/>
    <mergeCell ref="B21:H22"/>
    <mergeCell ref="B23:H2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88F22-03ED-48AC-85C7-7189E494FAE2}">
  <sheetPr>
    <tabColor rgb="FF0070C0"/>
  </sheetPr>
  <dimension ref="A1:J25"/>
  <sheetViews>
    <sheetView showGridLines="0" zoomScale="77" zoomScaleNormal="100" workbookViewId="0">
      <selection activeCell="F30" sqref="F30"/>
    </sheetView>
  </sheetViews>
  <sheetFormatPr defaultRowHeight="14.5" x14ac:dyDescent="0.35"/>
  <cols>
    <col min="1" max="1" width="11.453125" customWidth="1"/>
    <col min="2" max="2" width="3" customWidth="1"/>
    <col min="3" max="3" width="6.54296875" customWidth="1"/>
    <col min="4" max="4" width="9.1796875" customWidth="1"/>
  </cols>
  <sheetData>
    <row r="1" spans="1:10" x14ac:dyDescent="0.35">
      <c r="A1" s="93"/>
      <c r="B1" s="94"/>
      <c r="C1" s="94"/>
      <c r="D1" s="94"/>
      <c r="E1" s="94"/>
      <c r="F1" s="94"/>
      <c r="G1" s="94"/>
      <c r="H1" s="94"/>
      <c r="I1" s="94"/>
      <c r="J1" s="94"/>
    </row>
    <row r="2" spans="1:10" ht="14.5" customHeight="1" x14ac:dyDescent="0.35">
      <c r="A2" s="93"/>
      <c r="B2" s="32" t="s">
        <v>127</v>
      </c>
      <c r="C2" s="274"/>
      <c r="D2" s="274"/>
      <c r="E2" s="274"/>
      <c r="F2" s="274"/>
      <c r="G2" s="274"/>
      <c r="H2" s="274"/>
      <c r="I2" s="274"/>
      <c r="J2" s="275"/>
    </row>
    <row r="3" spans="1:10" ht="14.5" customHeight="1" x14ac:dyDescent="0.35">
      <c r="A3" s="93"/>
      <c r="B3" s="66"/>
      <c r="C3" s="19"/>
      <c r="D3" s="19"/>
      <c r="E3" s="19"/>
      <c r="F3" s="19"/>
      <c r="G3" s="19"/>
      <c r="H3" s="19"/>
      <c r="I3" s="19"/>
      <c r="J3" s="276"/>
    </row>
    <row r="4" spans="1:10" ht="14.5" customHeight="1" x14ac:dyDescent="0.35">
      <c r="A4" s="93"/>
      <c r="B4" s="323" t="s">
        <v>128</v>
      </c>
      <c r="C4" s="322"/>
      <c r="D4" s="322"/>
      <c r="E4" s="322"/>
      <c r="F4" s="322"/>
      <c r="G4" s="322"/>
      <c r="H4" s="322"/>
      <c r="I4" s="322"/>
      <c r="J4" s="324"/>
    </row>
    <row r="5" spans="1:10" x14ac:dyDescent="0.35">
      <c r="A5" s="93"/>
      <c r="B5" s="325"/>
      <c r="C5" s="326"/>
      <c r="D5" s="326"/>
      <c r="E5" s="326"/>
      <c r="F5" s="326"/>
      <c r="G5" s="326"/>
      <c r="H5" s="326"/>
      <c r="I5" s="326"/>
      <c r="J5" s="327"/>
    </row>
    <row r="6" spans="1:10" x14ac:dyDescent="0.35">
      <c r="A6" s="93"/>
      <c r="B6" s="328" t="s">
        <v>76</v>
      </c>
      <c r="C6" s="329"/>
      <c r="D6" s="329"/>
      <c r="E6" s="329"/>
      <c r="F6" s="329"/>
      <c r="G6" s="329"/>
      <c r="H6" s="329"/>
      <c r="I6" s="329"/>
      <c r="J6" s="330"/>
    </row>
    <row r="7" spans="1:10" x14ac:dyDescent="0.35">
      <c r="A7" s="93"/>
      <c r="B7" s="331" t="s">
        <v>77</v>
      </c>
      <c r="C7" s="320"/>
      <c r="D7" s="109">
        <v>5.5E-2</v>
      </c>
      <c r="E7" s="109">
        <v>0.06</v>
      </c>
      <c r="F7" s="109">
        <v>6.5000000000000002E-2</v>
      </c>
      <c r="G7" s="109">
        <v>7.0000000000000007E-2</v>
      </c>
      <c r="H7" s="109">
        <v>7.4999999999999997E-2</v>
      </c>
      <c r="I7" s="109">
        <v>0.08</v>
      </c>
      <c r="J7" s="332">
        <v>8.5000000000000006E-2</v>
      </c>
    </row>
    <row r="8" spans="1:10" ht="14.5" customHeight="1" x14ac:dyDescent="0.35">
      <c r="A8" s="93"/>
      <c r="B8" s="331"/>
      <c r="C8" s="321">
        <v>0.04</v>
      </c>
      <c r="D8" s="111">
        <f>(($G$21*(1+$C8)/(1+D$7)^1)
+($G$21*(1+$C8)^2/(1+D$7)^2)
+($G$21*(1+$C8)^3/(1+D$7)^3)
+($G$21*(1+$C8)^4/(1+D$7)^4)
+($G$21*(1+$C8)^5/(1+D$7)^5)
+(($G$21*(1+$C8)^5*(1+$G$20)/(D$7-$G$20))/(1+D$7)^5)
-$G$23)
/$G$24</f>
        <v>54.579731258438514</v>
      </c>
      <c r="E8" s="111">
        <f>(($G$21*(1+$C8)/(1+E$7)^1)
+($G$21*(1+$C8)^2/(1+E$7)^2)
+($G$21*(1+$C8)^3/(1+E$7)^3)
+($G$21*(1+$C8)^4/(1+E$7)^4)
+($G$21*(1+$C8)^5/(1+E$7)^5)
+(($G$21*(1+$C8)^5*(1+$G$20)/(E$7-$G$20))/(1+E$7)^5)
-$G$23)
/$G$24</f>
        <v>46.293392608334038</v>
      </c>
      <c r="F8" s="111">
        <f>(($G$21*(1+$C8)/(1+F$7)^1)
+($G$21*(1+$C8)^2/(1+F$7)^2)
+($G$21*(1+$C8)^3/(1+F$7)^3)
+($G$21*(1+$C8)^4/(1+F$7)^4)
+($G$21*(1+$C8)^5/(1+F$7)^5)
+(($G$21*(1+$C8)^5*(1+$G$20)/(F$7-$G$20))/(1+F$7)^5)
-$G$23)
/$G$24</f>
        <v>40.079134122229981</v>
      </c>
      <c r="G8" s="111">
        <f>(($G$21*(1+$C8)/(1+G$7)^1)
+($G$21*(1+$C8)^2/(1+G$7)^2)
+($G$21*(1+$C8)^3/(1+G$7)^3)
+($G$21*(1+$C8)^4/(1+G$7)^4)
+($G$21*(1+$C8)^5/(1+G$7)^5)
+(($G$21*(1+$C8)^5*(1+$G$20)/(G$7-$G$20))/(1+G$7)^5)
-$G$23)
/$G$24</f>
        <v>35.246251697929523</v>
      </c>
      <c r="H8" s="111">
        <f>(($G$21*(1+$C8)/(1+H$7)^1)
+($G$21*(1+$C8)^2/(1+H$7)^2)
+($G$21*(1+$C8)^3/(1+H$7)^3)
+($G$21*(1+$C8)^4/(1+H$7)^4)
+($G$21*(1+$C8)^5/(1+H$7)^5)
+(($G$21*(1+$C8)^5*(1+$G$20)/(H$7-$G$20))/(1+H$7)^5)
-$G$23)
/$G$24</f>
        <v>31.380323158878905</v>
      </c>
      <c r="I8" s="111">
        <f>(($G$21*(1+$C8)/(1+I$7)^1)
+($G$21*(1+$C8)^2/(1+I$7)^2)
+($G$21*(1+$C8)^3/(1+I$7)^3)
+($G$21*(1+$C8)^4/(1+I$7)^4)
+($G$21*(1+$C8)^5/(1+I$7)^5)
+(($G$21*(1+$C8)^5*(1+$G$20)/(I$7-$G$20))/(1+I$7)^5)
-$G$23)
/$G$24</f>
        <v>28.21762555177294</v>
      </c>
      <c r="J8" s="333">
        <f>(($G$21*(1+$C8)/(1+J$7)^1)
+($G$21*(1+$C8)^2/(1+J$7)^2)
+($G$21*(1+$C8)^3/(1+J$7)^3)
+($G$21*(1+$C8)^4/(1+J$7)^4)
+($G$21*(1+$C8)^5/(1+J$7)^5)
+(($G$21*(1+$C8)^5*(1+$G$20)/(J$7-$G$20))/(1+J$7)^5)
-$G$23)
/$G$24</f>
        <v>25.58234379567871</v>
      </c>
    </row>
    <row r="9" spans="1:10" x14ac:dyDescent="0.35">
      <c r="A9" s="91"/>
      <c r="B9" s="331"/>
      <c r="C9" s="321">
        <v>0.05</v>
      </c>
      <c r="D9" s="111">
        <f>(($G$21*(1+$C9)/(1+D$7)^1)
+($G$21*(1+$C9)^2/(1+D$7)^2)
+($G$21*(1+$C9)^3/(1+D$7)^3)
+($G$21*(1+$C9)^4/(1+D$7)^4)
+($G$21*(1+$C9)^5/(1+D$7)^5)
+(($G$21*(1+$C9)^5*(1+$G$20)/(D$7-$G$20))/(1+D$7)^5)
-$G$23)
/$G$24</f>
        <v>57.260242491984741</v>
      </c>
      <c r="E9" s="111">
        <f>(($G$21*(1+$C9)/(1+E$7)^1)
+($G$21*(1+$C9)^2/(1+E$7)^2)
+($G$21*(1+$C9)^3/(1+E$7)^3)
+($G$21*(1+$C9)^4/(1+E$7)^4)
+($G$21*(1+$C9)^5/(1+E$7)^5)
+(($G$21*(1+$C9)^5*(1+$G$20)/(E$7-$G$20))/(1+E$7)^5)
-$G$23)
/$G$24</f>
        <v>48.569207815950691</v>
      </c>
      <c r="F9" s="111">
        <f>(($G$21*(1+$C9)/(1+F$7)^1)
+($G$21*(1+$C9)^2/(1+F$7)^2)
+($G$21*(1+$C9)^3/(1+F$7)^3)
+($G$21*(1+$C9)^4/(1+F$7)^4)
+($G$21*(1+$C9)^5/(1+F$7)^5)
+(($G$21*(1+$C9)^5*(1+$G$20)/(F$7-$G$20))/(1+F$7)^5)
-$G$23)
/$G$24</f>
        <v>42.051783640366281</v>
      </c>
      <c r="G9" s="111">
        <f>(($G$21*(1+$C9)/(1+G$7)^1)
+($G$21*(1+$C9)^2/(1+G$7)^2)
+($G$21*(1+$C9)^3/(1+G$7)^3)
+($G$21*(1+$C9)^4/(1+G$7)^4)
+($G$21*(1+$C9)^5/(1+G$7)^5)
+(($G$21*(1+$C9)^5*(1+$G$20)/(G$7-$G$20))/(1+G$7)^5)
-$G$23)
/$G$24</f>
        <v>36.983414686089866</v>
      </c>
      <c r="H9" s="111">
        <f>(($G$21*(1+$C9)/(1+H$7)^1)
+($G$21*(1+$C9)^2/(1+H$7)^2)
+($G$21*(1+$C9)^3/(1+H$7)^3)
+($G$21*(1+$C9)^4/(1+H$7)^4)
+($G$21*(1+$C9)^5/(1+H$7)^5)
+(($G$21*(1+$C9)^5*(1+$G$20)/(H$7-$G$20))/(1+H$7)^5)
-$G$23)
/$G$24</f>
        <v>32.929368276360862</v>
      </c>
      <c r="I9" s="111">
        <f>(($G$21*(1+$C9)/(1+I$7)^1)
+($G$21*(1+$C9)^2/(1+I$7)^2)
+($G$21*(1+$C9)^3/(1+I$7)^3)
+($G$21*(1+$C9)^4/(1+I$7)^4)
+($G$21*(1+$C9)^5/(1+I$7)^5)
+(($G$21*(1+$C9)^5*(1+$G$20)/(I$7-$G$20))/(1+I$7)^5)
-$G$23)
/$G$24</f>
        <v>29.612996774880223</v>
      </c>
      <c r="J9" s="333">
        <f>(($G$21*(1+$C9)/(1+J$7)^1)
+($G$21*(1+$C9)^2/(1+J$7)^2)
+($G$21*(1+$C9)^3/(1+J$7)^3)
+($G$21*(1+$C9)^4/(1+J$7)^4)
+($G$21*(1+$C9)^5/(1+J$7)^5)
+(($G$21*(1+$C9)^5*(1+$G$20)/(J$7-$G$20))/(1+J$7)^5)
-$G$23)
/$G$24</f>
        <v>26.84986880540432</v>
      </c>
    </row>
    <row r="10" spans="1:10" x14ac:dyDescent="0.35">
      <c r="A10" s="91"/>
      <c r="B10" s="331"/>
      <c r="C10" s="321">
        <v>0.06</v>
      </c>
      <c r="D10" s="111">
        <f>(($G$21*(1+$C10)/(1+D$7)^1)
+($G$21*(1+$C10)^2/(1+D$7)^2)
+($G$21*(1+$C10)^3/(1+D$7)^3)
+($G$21*(1+$C10)^4/(1+D$7)^4)
+($G$21*(1+$C10)^5/(1+D$7)^5)
+(($G$21*(1+$C10)^5*(1+$G$20)/(D$7-$G$20))/(1+D$7)^5)
-$G$23)
/$G$24</f>
        <v>60.041951528558755</v>
      </c>
      <c r="E10" s="111">
        <f>(($G$21*(1+$C10)/(1+E$7)^1)
+($G$21*(1+$C10)^2/(1+E$7)^2)
+($G$21*(1+$C10)^3/(1+E$7)^3)
+($G$21*(1+$C10)^4/(1+E$7)^4)
+($G$21*(1+$C10)^5/(1+E$7)^5)
+(($G$21*(1+$C10)^5*(1+$G$20)/(E$7-$G$20))/(1+E$7)^5)
-$G$23)
/$G$24</f>
        <v>50.930540458668183</v>
      </c>
      <c r="F10" s="111">
        <f>(($G$21*(1+$C10)/(1+F$7)^1)
+($G$21*(1+$C10)^2/(1+F$7)^2)
+($G$21*(1+$C10)^3/(1+F$7)^3)
+($G$21*(1+$C10)^4/(1+F$7)^4)
+($G$21*(1+$C10)^5/(1+F$7)^5)
+(($G$21*(1+$C10)^5*(1+$G$20)/(F$7-$G$20))/(1+F$7)^5)
-$G$23)
/$G$24</f>
        <v>44.098211986586186</v>
      </c>
      <c r="G10" s="111">
        <f>(($G$21*(1+$C10)/(1+G$7)^1)
+($G$21*(1+$C10)^2/(1+G$7)^2)
+($G$21*(1+$C10)^3/(1+G$7)^3)
+($G$21*(1+$C10)^4/(1+G$7)^4)
+($G$21*(1+$C10)^5/(1+G$7)^5)
+(($G$21*(1+$C10)^5*(1+$G$20)/(G$7-$G$20))/(1+G$7)^5)
-$G$23)
/$G$24</f>
        <v>38.785245244465706</v>
      </c>
      <c r="H10" s="111">
        <f>(($G$21*(1+$C10)/(1+H$7)^1)
+($G$21*(1+$C10)^2/(1+H$7)^2)
+($G$21*(1+$C10)^3/(1+H$7)^3)
+($G$21*(1+$C10)^4/(1+H$7)^4)
+($G$21*(1+$C10)^5/(1+H$7)^5)
+(($G$21*(1+$C10)^5*(1+$G$20)/(H$7-$G$20))/(1+H$7)^5)
-$G$23)
/$G$24</f>
        <v>34.535808421752897</v>
      </c>
      <c r="I10" s="111">
        <f>(($G$21*(1+$C10)/(1+I$7)^1)
+($G$21*(1+$C10)^2/(1+I$7)^2)
+($G$21*(1+$C10)^3/(1+I$7)^3)
+($G$21*(1+$C10)^4/(1+I$7)^4)
+($G$21*(1+$C10)^5/(1+I$7)^5)
+(($G$21*(1+$C10)^5*(1+$G$20)/(I$7-$G$20))/(1+I$7)^5)
-$G$23)
/$G$24</f>
        <v>31.059827353232521</v>
      </c>
      <c r="J10" s="333">
        <f>(($G$21*(1+$C10)/(1+J$7)^1)
+($G$21*(1+$C10)^2/(1+J$7)^2)
+($G$21*(1+$C10)^3/(1+J$7)^3)
+($G$21*(1+$C10)^4/(1+J$7)^4)
+($G$21*(1+$C10)^5/(1+J$7)^5)
+(($G$21*(1+$C10)^5*(1+$G$20)/(J$7-$G$20))/(1+J$7)^5)
-$G$23)
/$G$24</f>
        <v>28.163919813852338</v>
      </c>
    </row>
    <row r="11" spans="1:10" x14ac:dyDescent="0.35">
      <c r="A11" s="91"/>
      <c r="B11" s="331"/>
      <c r="C11" s="321">
        <v>7.0000000000000007E-2</v>
      </c>
      <c r="D11" s="111">
        <f>(($G$21*(1+$C11)/(1+D$7)^1)
+($G$21*(1+$C11)^2/(1+D$7)^2)
+($G$21*(1+$C11)^3/(1+D$7)^3)
+($G$21*(1+$C11)^4/(1+D$7)^4)
+($G$21*(1+$C11)^5/(1+D$7)^5)
+(($G$21*(1+$C11)^5*(1+$G$20)/(D$7-$G$20))/(1+D$7)^5)
-$G$23)
/$G$24</f>
        <v>62.927736348577625</v>
      </c>
      <c r="E11" s="111">
        <f>(($G$21*(1+$C11)/(1+E$7)^1)
+($G$21*(1+$C11)^2/(1+E$7)^2)
+($G$21*(1+$C11)^3/(1+E$7)^3)
+($G$21*(1+$C11)^4/(1+E$7)^4)
+($G$21*(1+$C11)^5/(1+E$7)^5)
+(($G$21*(1+$C11)^5*(1+$G$20)/(E$7-$G$20))/(1+E$7)^5)
-$G$23)
/$G$24</f>
        <v>53.379816854038125</v>
      </c>
      <c r="F11" s="111">
        <f>(($G$21*(1+$C11)/(1+F$7)^1)
+($G$21*(1+$C11)^2/(1+F$7)^2)
+($G$21*(1+$C11)^3/(1+F$7)^3)
+($G$21*(1+$C11)^4/(1+F$7)^4)
+($G$21*(1+$C11)^5/(1+F$7)^5)
+(($G$21*(1+$C11)^5*(1+$G$20)/(F$7-$G$20))/(1+F$7)^5)
-$G$23)
/$G$24</f>
        <v>46.220507497316291</v>
      </c>
      <c r="G11" s="111">
        <f>(($G$21*(1+$C11)/(1+G$7)^1)
+($G$21*(1+$C11)^2/(1+G$7)^2)
+($G$21*(1+$C11)^3/(1+G$7)^3)
+($G$21*(1+$C11)^4/(1+G$7)^4)
+($G$21*(1+$C11)^5/(1+G$7)^5)
+(($G$21*(1+$C11)^5*(1+$G$20)/(G$7-$G$20))/(1+G$7)^5)
-$G$23)
/$G$24</f>
        <v>40.653569498149757</v>
      </c>
      <c r="H11" s="111">
        <f>(($G$21*(1+$C11)/(1+H$7)^1)
+($G$21*(1+$C11)^2/(1+H$7)^2)
+($G$21*(1+$C11)^3/(1+H$7)^3)
+($G$21*(1+$C11)^4/(1+H$7)^4)
+($G$21*(1+$C11)^5/(1+H$7)^5)
+(($G$21*(1+$C11)^5*(1+$G$20)/(H$7-$G$20))/(1+H$7)^5)
-$G$23)
/$G$24</f>
        <v>36.201260531942232</v>
      </c>
      <c r="I11" s="111">
        <f>(($G$21*(1+$C11)/(1+I$7)^1)
+($G$21*(1+$C11)^2/(1+I$7)^2)
+($G$21*(1+$C11)^3/(1+I$7)^3)
+($G$21*(1+$C11)^4/(1+I$7)^4)
+($G$21*(1+$C11)^5/(1+I$7)^5)
+(($G$21*(1+$C11)^5*(1+$G$20)/(I$7-$G$20))/(1+I$7)^5)
-$G$23)
/$G$24</f>
        <v>32.559563583934704</v>
      </c>
      <c r="J11" s="333">
        <f>(($G$21*(1+$C11)/(1+J$7)^1)
+($G$21*(1+$C11)^2/(1+J$7)^2)
+($G$21*(1+$C11)^3/(1+J$7)^3)
+($G$21*(1+$C11)^4/(1+J$7)^4)
+($G$21*(1+$C11)^5/(1+J$7)^5)
+(($G$21*(1+$C11)^5*(1+$G$20)/(J$7-$G$20))/(1+J$7)^5)
-$G$23)
/$G$24</f>
        <v>29.525801377357645</v>
      </c>
    </row>
    <row r="12" spans="1:10" x14ac:dyDescent="0.35">
      <c r="A12" s="91"/>
      <c r="B12" s="331"/>
      <c r="C12" s="321">
        <v>7.4999999999999997E-2</v>
      </c>
      <c r="D12" s="111">
        <f>(($G$21*(1+$C12)/(1+D$7)^1)
+($G$21*(1+$C12)^2/(1+D$7)^2)
+($G$21*(1+$C12)^3/(1+D$7)^3)
+($G$21*(1+$C12)^4/(1+D$7)^4)
+($G$21*(1+$C12)^5/(1+D$7)^5)
+(($G$21*(1+$C12)^5*(1+$G$20)/(D$7-$G$20))/(1+D$7)^5)
-$G$23)
/$G$24</f>
        <v>64.410571394659186</v>
      </c>
      <c r="E12" s="111">
        <f>(($G$21*(1+$C12)/(1+E$7)^1)
+($G$21*(1+$C12)^2/(1+E$7)^2)
+($G$21*(1+$C12)^3/(1+E$7)^3)
+($G$21*(1+$C12)^4/(1+E$7)^4)
+($G$21*(1+$C12)^5/(1+E$7)^5)
+(($G$21*(1+$C12)^5*(1+$G$20)/(E$7-$G$20))/(1+E$7)^5)
-$G$23)
/$G$24</f>
        <v>54.638204683687043</v>
      </c>
      <c r="F12" s="111">
        <f>(($G$21*(1+$C12)/(1+F$7)^1)
+($G$21*(1+$C12)^2/(1+F$7)^2)
+($G$21*(1+$C12)^3/(1+F$7)^3)
+($G$21*(1+$C12)^4/(1+F$7)^4)
+($G$21*(1+$C12)^5/(1+F$7)^5)
+(($G$21*(1+$C12)^5*(1+$G$20)/(F$7-$G$20))/(1+F$7)^5)
-$G$23)
/$G$24</f>
        <v>47.310768788534169</v>
      </c>
      <c r="G12" s="111">
        <f>(($G$21*(1+$C12)/(1+G$7)^1)
+($G$21*(1+$C12)^2/(1+G$7)^2)
+($G$21*(1+$C12)^3/(1+G$7)^3)
+($G$21*(1+$C12)^4/(1+G$7)^4)
+($G$21*(1+$C12)^5/(1+G$7)^5)
+(($G$21*(1+$C12)^5*(1+$G$20)/(G$7-$G$20))/(1+G$7)^5)
-$G$23)
/$G$24</f>
        <v>41.613246806593622</v>
      </c>
      <c r="H12" s="111">
        <f>(($G$21*(1+$C12)/(1+H$7)^1)
+($G$21*(1+$C12)^2/(1+H$7)^2)
+($G$21*(1+$C12)^3/(1+H$7)^3)
+($G$21*(1+$C12)^4/(1+H$7)^4)
+($G$21*(1+$C12)^5/(1+H$7)^5)
+(($G$21*(1+$C12)^5*(1+$G$20)/(H$7-$G$20))/(1+H$7)^5)
-$G$23)
/$G$24</f>
        <v>37.056629661968316</v>
      </c>
      <c r="I12" s="111">
        <f>(($G$21*(1+$C12)/(1+I$7)^1)
+($G$21*(1+$C12)^2/(1+I$7)^2)
+($G$21*(1+$C12)^3/(1+I$7)^3)
+($G$21*(1+$C12)^4/(1+I$7)^4)
+($G$21*(1+$C12)^5/(1+I$7)^5)
+(($G$21*(1+$C12)^5*(1+$G$20)/(I$7-$G$20))/(1+I$7)^5)
-$G$23)
/$G$24</f>
        <v>33.329730696233391</v>
      </c>
      <c r="J12" s="333">
        <f>(($G$21*(1+$C12)/(1+J$7)^1)
+($G$21*(1+$C12)^2/(1+J$7)^2)
+($G$21*(1+$C12)^3/(1+J$7)^3)
+($G$21*(1+$C12)^4/(1+J$7)^4)
+($G$21*(1+$C12)^5/(1+J$7)^5)
+(($G$21*(1+$C12)^5*(1+$G$20)/(J$7-$G$20))/(1+J$7)^5)
-$G$23)
/$G$24</f>
        <v>30.22509296502243</v>
      </c>
    </row>
    <row r="13" spans="1:10" x14ac:dyDescent="0.35">
      <c r="A13" s="91"/>
      <c r="B13" s="331"/>
      <c r="C13" s="321">
        <v>0.08</v>
      </c>
      <c r="D13" s="111">
        <f>(($G$21*(1+$C13)/(1+D$7)^1)
+($G$21*(1+$C13)^2/(1+D$7)^2)
+($G$21*(1+$C13)^3/(1+D$7)^3)
+($G$21*(1+$C13)^4/(1+D$7)^4)
+($G$21*(1+$C13)^5/(1+D$7)^5)
+(($G$21*(1+$C13)^5*(1+$G$20)/(D$7-$G$20))/(1+D$7)^5)
-$G$23)
/$G$24</f>
        <v>65.920529286166783</v>
      </c>
      <c r="E13" s="111">
        <f>(($G$21*(1+$C13)/(1+E$7)^1)
+($G$21*(1+$C13)^2/(1+E$7)^2)
+($G$21*(1+$C13)^3/(1+E$7)^3)
+($G$21*(1+$C13)^4/(1+E$7)^4)
+($G$21*(1+$C13)^5/(1+E$7)^5)
+(($G$21*(1+$C13)^5*(1+$G$20)/(E$7-$G$20))/(1+E$7)^5)
-$G$23)
/$G$24</f>
        <v>55.919509078554967</v>
      </c>
      <c r="F13" s="111">
        <f>(($G$21*(1+$C13)/(1+F$7)^1)
+($G$21*(1+$C13)^2/(1+F$7)^2)
+($G$21*(1+$C13)^3/(1+F$7)^3)
+($G$21*(1+$C13)^4/(1+F$7)^4)
+($G$21*(1+$C13)^5/(1+F$7)^5)
+(($G$21*(1+$C13)^5*(1+$G$20)/(F$7-$G$20))/(1+F$7)^5)
-$G$23)
/$G$24</f>
        <v>48.420797838254344</v>
      </c>
      <c r="G13" s="111">
        <f>(($G$21*(1+$C13)/(1+G$7)^1)
+($G$21*(1+$C13)^2/(1+G$7)^2)
+($G$21*(1+$C13)^3/(1+G$7)^3)
+($G$21*(1+$C13)^4/(1+G$7)^4)
+($G$21*(1+$C13)^5/(1+G$7)^5)
+(($G$21*(1+$C13)^5*(1+$G$20)/(G$7-$G$20))/(1+G$7)^5)
-$G$23)
/$G$24</f>
        <v>42.590247914833007</v>
      </c>
      <c r="H13" s="111">
        <f>(($G$21*(1+$C13)/(1+H$7)^1)
+($G$21*(1+$C13)^2/(1+H$7)^2)
+($G$21*(1+$C13)^3/(1+H$7)^3)
+($G$21*(1+$C13)^4/(1+H$7)^4)
+($G$21*(1+$C13)^5/(1+H$7)^5)
+(($G$21*(1+$C13)^5*(1+$G$20)/(H$7-$G$20))/(1+H$7)^5)
-$G$23)
/$G$24</f>
        <v>37.927371909494205</v>
      </c>
      <c r="I13" s="111">
        <f>(($G$21*(1+$C13)/(1+I$7)^1)
+($G$21*(1+$C13)^2/(1+I$7)^2)
+($G$21*(1+$C13)^3/(1+I$7)^3)
+($G$21*(1+$C13)^4/(1+I$7)^4)
+($G$21*(1+$C13)^5/(1+I$7)^5)
+(($G$21*(1+$C13)^5*(1+$G$20)/(I$7-$G$20))/(1+I$7)^5)
-$G$23)
/$G$24</f>
        <v>34.113678886910762</v>
      </c>
      <c r="J13" s="333">
        <f>(($G$21*(1+$C13)/(1+J$7)^1)
+($G$21*(1+$C13)^2/(1+J$7)^2)
+($G$21*(1+$C13)^3/(1+J$7)^3)
+($G$21*(1+$C13)^4/(1+J$7)^4)
+($G$21*(1+$C13)^5/(1+J$7)^5)
+(($G$21*(1+$C13)^5*(1+$G$20)/(J$7-$G$20))/(1+J$7)^5)
-$G$23)
/$G$24</f>
        <v>30.936842482490469</v>
      </c>
    </row>
    <row r="14" spans="1:10" x14ac:dyDescent="0.35">
      <c r="A14" s="91"/>
      <c r="B14" s="331"/>
      <c r="C14" s="321">
        <v>0.09</v>
      </c>
      <c r="D14" s="111">
        <f>(($G$21*(1+$C14)/(1+D$7)^1)
+($G$21*(1+$C14)^2/(1+D$7)^2)
+($G$21*(1+$C14)^3/(1+D$7)^3)
+($G$21*(1+$C14)^4/(1+D$7)^4)
+($G$21*(1+$C14)^5/(1+D$7)^5)
+(($G$21*(1+$C14)^5*(1+$G$20)/(D$7-$G$20))/(1+D$7)^5)
-$G$23)
/$G$24</f>
        <v>69.023317539044669</v>
      </c>
      <c r="E14" s="111">
        <f>(($G$21*(1+$C14)/(1+E$7)^1)
+($G$21*(1+$C14)^2/(1+E$7)^2)
+($G$21*(1+$C14)^3/(1+E$7)^3)
+($G$21*(1+$C14)^4/(1+E$7)^4)
+($G$21*(1+$C14)^5/(1+E$7)^5)
+(($G$21*(1+$C14)^5*(1+$G$20)/(E$7-$G$20))/(1+E$7)^5)
-$G$23)
/$G$24</f>
        <v>58.552135396512064</v>
      </c>
      <c r="F14" s="111">
        <f>(($G$21*(1+$C14)/(1+F$7)^1)
+($G$21*(1+$C14)^2/(1+F$7)^2)
+($G$21*(1+$C14)^3/(1+F$7)^3)
+($G$21*(1+$C14)^4/(1+F$7)^4)
+($G$21*(1+$C14)^5/(1+F$7)^5)
+(($G$21*(1+$C14)^5*(1+$G$20)/(F$7-$G$20))/(1+F$7)^5)
-$G$23)
/$G$24</f>
        <v>50.701250372620933</v>
      </c>
      <c r="G14" s="111">
        <f>(($G$21*(1+$C14)/(1+G$7)^1)
+($G$21*(1+$C14)^2/(1+G$7)^2)
+($G$21*(1+$C14)^3/(1+G$7)^3)
+($G$21*(1+$C14)^4/(1+G$7)^4)
+($G$21*(1+$C14)^5/(1+G$7)^5)
+(($G$21*(1+$C14)^5*(1+$G$20)/(G$7-$G$20))/(1+G$7)^5)
-$G$23)
/$G$24</f>
        <v>44.597175626063738</v>
      </c>
      <c r="H14" s="111">
        <f>(($G$21*(1+$C14)/(1+H$7)^1)
+($G$21*(1+$C14)^2/(1+H$7)^2)
+($G$21*(1+$C14)^3/(1+H$7)^3)
+($G$21*(1+$C14)^4/(1+H$7)^4)
+($G$21*(1+$C14)^5/(1+H$7)^5)
+(($G$21*(1+$C14)^5*(1+$G$20)/(H$7-$G$20))/(1+H$7)^5)
-$G$23)
/$G$24</f>
        <v>39.715820506443698</v>
      </c>
      <c r="I14" s="111">
        <f>(($G$21*(1+$C14)/(1+I$7)^1)
+($G$21*(1+$C14)^2/(1+I$7)^2)
+($G$21*(1+$C14)^3/(1+I$7)^3)
+($G$21*(1+$C14)^4/(1+I$7)^4)
+($G$21*(1+$C14)^5/(1+I$7)^5)
+(($G$21*(1+$C14)^5*(1+$G$20)/(I$7-$G$20))/(1+I$7)^5)
-$G$23)
/$G$24</f>
        <v>35.723674058151403</v>
      </c>
      <c r="J14" s="333">
        <f>(($G$21*(1+$C14)/(1+J$7)^1)
+($G$21*(1+$C14)^2/(1+J$7)^2)
+($G$21*(1+$C14)^3/(1+J$7)^3)
+($G$21*(1+$C14)^4/(1+J$7)^4)
+($G$21*(1+$C14)^5/(1+J$7)^5)
+(($G$21*(1+$C14)^5*(1+$G$20)/(J$7-$G$20))/(1+J$7)^5)
-$G$23)
/$G$24</f>
        <v>32.398396773950338</v>
      </c>
    </row>
    <row r="15" spans="1:10" x14ac:dyDescent="0.35">
      <c r="A15" s="93"/>
      <c r="B15" s="334"/>
      <c r="C15" s="335">
        <v>0.1</v>
      </c>
      <c r="D15" s="336">
        <f>(($G$21*(1+$C15)/(1+D$7)^1)
+($G$21*(1+$C15)^2/(1+D$7)^2)
+($G$21*(1+$C15)^3/(1+D$7)^3)
+($G$21*(1+$C15)^4/(1+D$7)^4)
+($G$21*(1+$C15)^5/(1+D$7)^5)
+(($G$21*(1+$C15)^5*(1+$G$20)/(D$7-$G$20))/(1+D$7)^5)
-$G$23)
/$G$24</f>
        <v>72.239143678407416</v>
      </c>
      <c r="E15" s="336">
        <f>(($G$21*(1+$C15)/(1+E$7)^1)
+($G$21*(1+$C15)^2/(1+E$7)^2)
+($G$21*(1+$C15)^3/(1+E$7)^3)
+($G$21*(1+$C15)^4/(1+E$7)^4)
+($G$21*(1+$C15)^5/(1+E$7)^5)
+(($G$21*(1+$C15)^5*(1+$G$20)/(E$7-$G$20))/(1+E$7)^5)
-$G$23)
/$G$24</f>
        <v>61.280260688857659</v>
      </c>
      <c r="F15" s="336">
        <f>(($G$21*(1+$C15)/(1+F$7)^1)
+($G$21*(1+$C15)^2/(1+F$7)^2)
+($G$21*(1+$C15)^3/(1+F$7)^3)
+($G$21*(1+$C15)^4/(1+F$7)^4)
+($G$21*(1+$C15)^5/(1+F$7)^5)
+(($G$21*(1+$C15)^5*(1+$G$20)/(F$7-$G$20))/(1+F$7)^5)
-$G$23)
/$G$24</f>
        <v>53.064072529410936</v>
      </c>
      <c r="G15" s="336">
        <f>(($G$21*(1+$C15)/(1+G$7)^1)
+($G$21*(1+$C15)^2/(1+G$7)^2)
+($G$21*(1+$C15)^3/(1+G$7)^3)
+($G$21*(1+$C15)^4/(1+G$7)^4)
+($G$21*(1+$C15)^5/(1+G$7)^5)
+(($G$21*(1+$C15)^5*(1+$G$20)/(G$7-$G$20))/(1+G$7)^5)
-$G$23)
/$G$24</f>
        <v>46.676282748506601</v>
      </c>
      <c r="H15" s="336">
        <f>(($G$21*(1+$C15)/(1+H$7)^1)
+($G$21*(1+$C15)^2/(1+H$7)^2)
+($G$21*(1+$C15)^3/(1+H$7)^3)
+($G$21*(1+$C15)^4/(1+H$7)^4)
+($G$21*(1+$C15)^5/(1+H$7)^5)
+(($G$21*(1+$C15)^5*(1+$G$20)/(H$7-$G$20))/(1+H$7)^5)
-$G$23)
/$G$24</f>
        <v>41.568315208086517</v>
      </c>
      <c r="I15" s="336">
        <f>(($G$21*(1+$C15)/(1+I$7)^1)
+($G$21*(1+$C15)^2/(1+I$7)^2)
+($G$21*(1+$C15)^3/(1+I$7)^3)
+($G$21*(1+$C15)^4/(1+I$7)^4)
+($G$21*(1+$C15)^5/(1+I$7)^5)
+(($G$21*(1+$C15)^5*(1+$G$20)/(I$7-$G$20))/(1+I$7)^5)
-$G$23)
/$G$24</f>
        <v>37.391077522961638</v>
      </c>
      <c r="J15" s="337">
        <f>(($G$21*(1+$C15)/(1+J$7)^1)
+($G$21*(1+$C15)^2/(1+J$7)^2)
+($G$21*(1+$C15)^3/(1+J$7)^3)
+($G$21*(1+$C15)^4/(1+J$7)^4)
+($G$21*(1+$C15)^5/(1+J$7)^5)
+(($G$21*(1+$C15)^5*(1+$G$20)/(J$7-$G$20))/(1+J$7)^5)
-$G$23)
/$G$24</f>
        <v>33.91184278246007</v>
      </c>
    </row>
    <row r="16" spans="1:10" x14ac:dyDescent="0.35">
      <c r="A16" s="93"/>
      <c r="B16" s="94"/>
      <c r="C16" s="94"/>
      <c r="E16" s="96"/>
      <c r="F16" s="56"/>
      <c r="G16" s="56"/>
      <c r="H16" s="56"/>
      <c r="I16" s="56"/>
      <c r="J16" s="56"/>
    </row>
    <row r="20" spans="1:7" x14ac:dyDescent="0.35">
      <c r="A20" s="94"/>
      <c r="B20" s="313" t="s">
        <v>78</v>
      </c>
      <c r="C20" s="314"/>
      <c r="D20" s="314"/>
      <c r="E20" s="314"/>
      <c r="F20" s="314"/>
      <c r="G20" s="315">
        <v>2.5000000000000001E-2</v>
      </c>
    </row>
    <row r="21" spans="1:7" x14ac:dyDescent="0.35">
      <c r="B21" s="316" t="s">
        <v>129</v>
      </c>
      <c r="C21" s="312"/>
      <c r="D21" s="312"/>
      <c r="E21" s="312"/>
      <c r="F21" s="312"/>
      <c r="G21" s="338">
        <f>'Raw Data'!H16-'Raw Data'!H17</f>
        <v>12660</v>
      </c>
    </row>
    <row r="22" spans="1:7" x14ac:dyDescent="0.35">
      <c r="B22" s="317" t="s">
        <v>124</v>
      </c>
      <c r="C22" s="311"/>
      <c r="D22" s="311"/>
      <c r="E22" s="311"/>
      <c r="F22" s="311"/>
      <c r="G22" s="339">
        <f>'Ratios &amp; Calculations'!C63/'Ratios &amp; Calculations'!C39</f>
        <v>43.78011684007695</v>
      </c>
    </row>
    <row r="23" spans="1:7" x14ac:dyDescent="0.35">
      <c r="B23" s="316" t="s">
        <v>121</v>
      </c>
      <c r="C23" s="312"/>
      <c r="D23" s="312"/>
      <c r="E23" s="312"/>
      <c r="F23" s="312"/>
      <c r="G23" s="338">
        <f>'Raw Data'!H15-'Raw Data'!H21</f>
        <v>25747</v>
      </c>
    </row>
    <row r="24" spans="1:7" x14ac:dyDescent="0.35">
      <c r="B24" s="318" t="s">
        <v>104</v>
      </c>
      <c r="C24" s="319"/>
      <c r="D24" s="319"/>
      <c r="E24" s="319"/>
      <c r="F24" s="319"/>
      <c r="G24" s="236">
        <v>8017</v>
      </c>
    </row>
    <row r="25" spans="1:7" x14ac:dyDescent="0.35">
      <c r="B25" s="247" t="s">
        <v>47</v>
      </c>
      <c r="C25" s="247"/>
      <c r="D25" s="247"/>
      <c r="E25" s="247"/>
    </row>
  </sheetData>
  <mergeCells count="10">
    <mergeCell ref="B24:F24"/>
    <mergeCell ref="B25:E25"/>
    <mergeCell ref="B4:J5"/>
    <mergeCell ref="B7:B15"/>
    <mergeCell ref="B6:J6"/>
    <mergeCell ref="B20:F20"/>
    <mergeCell ref="B21:F21"/>
    <mergeCell ref="B22:F22"/>
    <mergeCell ref="B23:F23"/>
    <mergeCell ref="B2:J3"/>
  </mergeCells>
  <conditionalFormatting sqref="D8:J1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D5470-8BA6-42E8-94F4-63327DC3FB3D}">
  <sheetPr>
    <tabColor rgb="FF0070C0"/>
  </sheetPr>
  <dimension ref="B2:H19"/>
  <sheetViews>
    <sheetView showGridLines="0" zoomScale="66" workbookViewId="0">
      <selection activeCell="M16" sqref="M16"/>
    </sheetView>
  </sheetViews>
  <sheetFormatPr defaultRowHeight="14.5" x14ac:dyDescent="0.35"/>
  <cols>
    <col min="2" max="2" width="25.6328125" customWidth="1"/>
    <col min="3" max="8" width="12.6328125" customWidth="1"/>
  </cols>
  <sheetData>
    <row r="2" spans="2:8" x14ac:dyDescent="0.35">
      <c r="B2" s="32" t="s">
        <v>35</v>
      </c>
      <c r="C2" s="33"/>
      <c r="D2" s="33"/>
      <c r="E2" s="33"/>
      <c r="F2" s="33"/>
      <c r="G2" s="33"/>
      <c r="H2" s="34"/>
    </row>
    <row r="3" spans="2:8" x14ac:dyDescent="0.35">
      <c r="B3" s="35"/>
      <c r="C3" s="20"/>
      <c r="D3" s="20"/>
      <c r="E3" s="20"/>
      <c r="F3" s="20"/>
      <c r="G3" s="20"/>
      <c r="H3" s="36"/>
    </row>
    <row r="4" spans="2:8" x14ac:dyDescent="0.35">
      <c r="B4" s="37" t="s">
        <v>36</v>
      </c>
      <c r="C4" s="38"/>
      <c r="D4" s="38"/>
      <c r="E4" s="38"/>
      <c r="F4" s="38"/>
      <c r="G4" s="38"/>
      <c r="H4" s="39"/>
    </row>
    <row r="5" spans="2:8" x14ac:dyDescent="0.35">
      <c r="B5" s="216"/>
      <c r="C5" s="217"/>
      <c r="D5" s="217"/>
      <c r="E5" s="217"/>
      <c r="F5" s="217"/>
      <c r="G5" s="217"/>
      <c r="H5" s="218"/>
    </row>
    <row r="6" spans="2:8" x14ac:dyDescent="0.35">
      <c r="B6" s="203" t="s">
        <v>24</v>
      </c>
      <c r="C6" s="204" t="s">
        <v>29</v>
      </c>
      <c r="D6" s="204" t="s">
        <v>30</v>
      </c>
      <c r="E6" s="204" t="s">
        <v>31</v>
      </c>
      <c r="F6" s="204" t="s">
        <v>32</v>
      </c>
      <c r="G6" s="204" t="s">
        <v>33</v>
      </c>
      <c r="H6" s="205" t="s">
        <v>34</v>
      </c>
    </row>
    <row r="7" spans="2:8" x14ac:dyDescent="0.35">
      <c r="B7" s="43" t="s">
        <v>20</v>
      </c>
      <c r="C7" s="44"/>
      <c r="D7" s="44"/>
      <c r="E7" s="44"/>
      <c r="F7" s="44"/>
      <c r="G7" s="44"/>
      <c r="H7" s="45"/>
    </row>
    <row r="8" spans="2:8" x14ac:dyDescent="0.35">
      <c r="B8" s="46" t="s">
        <v>0</v>
      </c>
      <c r="C8" s="47">
        <f>('Raw Data'!D8-'Raw Data'!C8)/'Raw Data'!C8</f>
        <v>6.7155377086975443E-2</v>
      </c>
      <c r="D8" s="47">
        <f>('Raw Data'!E8-'Raw Data'!D8)/'Raw Data'!D8</f>
        <v>2.4327954345069579E-2</v>
      </c>
      <c r="E8" s="47">
        <f>('Raw Data'!F8-'Raw Data'!E8)/'Raw Data'!E8</f>
        <v>6.7280193590965751E-2</v>
      </c>
      <c r="F8" s="47">
        <f>('Raw Data'!G8-'Raw Data'!F8)/'Raw Data'!F8</f>
        <v>6.0259549901928548E-2</v>
      </c>
      <c r="G8" s="47">
        <f>('Raw Data'!H8-'Raw Data'!G8)/'Raw Data'!G8</f>
        <v>5.070009643201543E-2</v>
      </c>
      <c r="H8" s="48">
        <f>('Raw Data'!H8/'Raw Data'!C8)^(1/5)-1</f>
        <v>5.3821899422198172E-2</v>
      </c>
    </row>
    <row r="9" spans="2:8" x14ac:dyDescent="0.35">
      <c r="B9" s="49" t="s">
        <v>1</v>
      </c>
      <c r="C9" s="50">
        <f>('Raw Data'!D11-'Raw Data'!C11)/'Raw Data'!C11</f>
        <v>9.6266044340723458E-2</v>
      </c>
      <c r="D9" s="50">
        <f>('Raw Data'!E11-'Raw Data'!D11)/'Raw Data'!D11</f>
        <v>0.15052332801135357</v>
      </c>
      <c r="E9" s="50">
        <f>('Raw Data'!F11-'Raw Data'!E11)/'Raw Data'!E11</f>
        <v>-0.21255107547606197</v>
      </c>
      <c r="F9" s="50">
        <f>('Raw Data'!G11-'Raw Data'!F11)/'Raw Data'!F11</f>
        <v>0.32230272175445468</v>
      </c>
      <c r="G9" s="50">
        <f>('Raw Data'!H11-'Raw Data'!G11)/'Raw Data'!G11</f>
        <v>8.6480082926106913E-2</v>
      </c>
      <c r="H9" s="268">
        <f>('Raw Data'!H11/'Raw Data'!C11)^(1/5)-1</f>
        <v>7.3685997668623937E-2</v>
      </c>
    </row>
    <row r="10" spans="2:8" x14ac:dyDescent="0.35">
      <c r="B10" s="52" t="s">
        <v>2</v>
      </c>
      <c r="C10" s="47">
        <f>('Raw Data'!D12-'Raw Data'!C12)/'Raw Data'!C12</f>
        <v>-9.8348792842576152E-2</v>
      </c>
      <c r="D10" s="47">
        <f>('Raw Data'!E12-'Raw Data'!D12)/'Raw Data'!D12</f>
        <v>1.7072814825623814E-2</v>
      </c>
      <c r="E10" s="47">
        <f>('Raw Data'!F12-'Raw Data'!E12)/'Raw Data'!E12</f>
        <v>-0.18995695839311336</v>
      </c>
      <c r="F10" s="47">
        <f>('Raw Data'!G12-'Raw Data'!F12)/'Raw Data'!F12</f>
        <v>0.44084307474318102</v>
      </c>
      <c r="G10" s="47">
        <f>('Raw Data'!H12-'Raw Data'!G12)/'Raw Data'!G12</f>
        <v>0.23890596189305471</v>
      </c>
      <c r="H10" s="48">
        <f>('Raw Data'!H12/'Raw Data'!C12)^(1/5)-1</f>
        <v>5.8061099203962296E-2</v>
      </c>
    </row>
    <row r="11" spans="2:8" x14ac:dyDescent="0.35">
      <c r="B11" s="53" t="s">
        <v>21</v>
      </c>
      <c r="C11" s="54">
        <f>('Raw Data'!D10-'Raw Data'!C10)/'Raw Data'!C10</f>
        <v>7.3261234239596781E-2</v>
      </c>
      <c r="D11" s="54">
        <f>('Raw Data'!E10-'Raw Data'!D10)/'Raw Data'!D10</f>
        <v>3.5423089112333973E-2</v>
      </c>
      <c r="E11" s="54">
        <f>('Raw Data'!F10-'Raw Data'!E10)/'Raw Data'!E10</f>
        <v>2.6531435647008082E-2</v>
      </c>
      <c r="F11" s="54">
        <f>('Raw Data'!G10-'Raw Data'!F10)/'Raw Data'!F10</f>
        <v>8.6197549604250245E-2</v>
      </c>
      <c r="G11" s="54">
        <f>('Raw Data'!H10-'Raw Data'!G10)/'Raw Data'!G10</f>
        <v>5.8719305250549012E-2</v>
      </c>
      <c r="H11" s="268">
        <f>('Raw Data'!H10/'Raw Data'!C10)^(1/5)-1</f>
        <v>5.5788770640428753E-2</v>
      </c>
    </row>
    <row r="12" spans="2:8" x14ac:dyDescent="0.35">
      <c r="B12" s="62"/>
      <c r="C12" s="269"/>
      <c r="D12" s="269"/>
      <c r="E12" s="269"/>
      <c r="F12" s="269"/>
      <c r="G12" s="269"/>
      <c r="H12" s="270"/>
    </row>
    <row r="13" spans="2:8" x14ac:dyDescent="0.35">
      <c r="B13" s="13" t="s">
        <v>47</v>
      </c>
      <c r="C13" s="5"/>
      <c r="D13" s="5"/>
      <c r="E13" s="5"/>
      <c r="F13" s="5"/>
      <c r="G13" s="5"/>
      <c r="H13" s="5"/>
    </row>
    <row r="15" spans="2:8" x14ac:dyDescent="0.35">
      <c r="B15" s="271" t="s">
        <v>37</v>
      </c>
      <c r="C15" s="272"/>
      <c r="D15" s="272"/>
      <c r="E15" s="272"/>
      <c r="F15" s="272"/>
      <c r="G15" s="272"/>
      <c r="H15" s="273"/>
    </row>
    <row r="16" spans="2:8" x14ac:dyDescent="0.35">
      <c r="B16" s="93"/>
      <c r="C16" s="94"/>
      <c r="D16" s="94"/>
      <c r="E16" s="94"/>
      <c r="F16" s="94"/>
      <c r="G16" s="94"/>
      <c r="H16" s="60"/>
    </row>
    <row r="17" spans="2:8" x14ac:dyDescent="0.35">
      <c r="B17" s="93"/>
      <c r="C17" s="94"/>
      <c r="D17" s="94"/>
      <c r="E17" s="94"/>
      <c r="F17" s="94"/>
      <c r="G17" s="94"/>
      <c r="H17" s="60"/>
    </row>
    <row r="18" spans="2:8" x14ac:dyDescent="0.35">
      <c r="B18" s="62"/>
      <c r="C18" s="63"/>
      <c r="D18" s="63"/>
      <c r="E18" s="63"/>
      <c r="F18" s="63"/>
      <c r="G18" s="63"/>
      <c r="H18" s="61"/>
    </row>
    <row r="19" spans="2:8" x14ac:dyDescent="0.35">
      <c r="B19" s="62"/>
      <c r="C19" s="63"/>
      <c r="D19" s="63"/>
      <c r="E19" s="63"/>
      <c r="F19" s="63"/>
      <c r="G19" s="63"/>
      <c r="H19" s="61"/>
    </row>
  </sheetData>
  <mergeCells count="4">
    <mergeCell ref="B2:H3"/>
    <mergeCell ref="B4:H5"/>
    <mergeCell ref="B7:H7"/>
    <mergeCell ref="B15:H1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78EA5-9E9E-4008-8DF8-D1EA163BA691}">
  <sheetPr>
    <tabColor rgb="FF0070C0"/>
  </sheetPr>
  <dimension ref="B2:H26"/>
  <sheetViews>
    <sheetView showGridLines="0" zoomScale="81" workbookViewId="0">
      <selection activeCell="B20" sqref="B20"/>
    </sheetView>
  </sheetViews>
  <sheetFormatPr defaultRowHeight="14.5" x14ac:dyDescent="0.35"/>
  <cols>
    <col min="2" max="2" width="25.6328125" customWidth="1"/>
    <col min="3" max="5" width="20.6328125" customWidth="1"/>
  </cols>
  <sheetData>
    <row r="2" spans="2:8" ht="14.5" customHeight="1" x14ac:dyDescent="0.35">
      <c r="B2" s="32" t="s">
        <v>49</v>
      </c>
      <c r="C2" s="274"/>
      <c r="D2" s="274"/>
      <c r="E2" s="275"/>
      <c r="F2" s="10"/>
      <c r="G2" s="10"/>
      <c r="H2" s="10"/>
    </row>
    <row r="3" spans="2:8" x14ac:dyDescent="0.35">
      <c r="B3" s="66"/>
      <c r="C3" s="19"/>
      <c r="D3" s="19"/>
      <c r="E3" s="276"/>
      <c r="F3" s="10"/>
      <c r="G3" s="10"/>
      <c r="H3" s="10"/>
    </row>
    <row r="4" spans="2:8" ht="14.5" customHeight="1" x14ac:dyDescent="0.35">
      <c r="B4" s="37" t="s">
        <v>39</v>
      </c>
      <c r="C4" s="95"/>
      <c r="D4" s="95"/>
      <c r="E4" s="277"/>
      <c r="F4" s="7"/>
      <c r="G4" s="7"/>
      <c r="H4" s="7"/>
    </row>
    <row r="5" spans="2:8" x14ac:dyDescent="0.35">
      <c r="B5" s="278"/>
      <c r="C5" s="279"/>
      <c r="D5" s="279"/>
      <c r="E5" s="280"/>
      <c r="F5" s="7"/>
      <c r="G5" s="7"/>
      <c r="H5" s="7"/>
    </row>
    <row r="6" spans="2:8" x14ac:dyDescent="0.35">
      <c r="B6" s="203" t="s">
        <v>24</v>
      </c>
      <c r="C6" s="204" t="s">
        <v>5</v>
      </c>
      <c r="D6" s="204" t="s">
        <v>40</v>
      </c>
      <c r="E6" s="205" t="s">
        <v>41</v>
      </c>
      <c r="F6" s="8"/>
      <c r="G6" s="8"/>
      <c r="H6" s="8"/>
    </row>
    <row r="7" spans="2:8" x14ac:dyDescent="0.35">
      <c r="B7" s="281"/>
      <c r="C7" s="282"/>
      <c r="D7" s="282"/>
      <c r="E7" s="283"/>
      <c r="F7" s="9"/>
      <c r="G7" s="9"/>
      <c r="H7" s="9"/>
    </row>
    <row r="8" spans="2:8" x14ac:dyDescent="0.35">
      <c r="B8" s="284" t="s">
        <v>18</v>
      </c>
      <c r="C8" s="285">
        <v>680985</v>
      </c>
      <c r="D8" s="285">
        <v>109409</v>
      </c>
      <c r="E8" s="286">
        <v>147642</v>
      </c>
      <c r="F8" s="5"/>
      <c r="G8" s="5"/>
      <c r="H8" s="6"/>
    </row>
    <row r="9" spans="2:8" x14ac:dyDescent="0.35">
      <c r="B9" s="287" t="s">
        <v>42</v>
      </c>
      <c r="C9" s="288">
        <v>169700</v>
      </c>
      <c r="D9" s="288">
        <v>31190</v>
      </c>
      <c r="E9" s="289">
        <v>34402</v>
      </c>
      <c r="F9" s="5"/>
      <c r="G9" s="5"/>
      <c r="H9" s="6"/>
    </row>
    <row r="10" spans="2:8" x14ac:dyDescent="0.35">
      <c r="B10" s="290" t="s">
        <v>43</v>
      </c>
      <c r="C10" s="285">
        <v>29348</v>
      </c>
      <c r="D10" s="285">
        <v>5628</v>
      </c>
      <c r="E10" s="286">
        <v>1890</v>
      </c>
      <c r="F10" s="5"/>
      <c r="G10" s="5"/>
      <c r="H10" s="6"/>
    </row>
    <row r="11" spans="2:8" x14ac:dyDescent="0.35">
      <c r="B11" s="291" t="s">
        <v>46</v>
      </c>
      <c r="C11" s="292">
        <v>20157</v>
      </c>
      <c r="D11" s="292">
        <v>4138</v>
      </c>
      <c r="E11" s="293">
        <v>1016</v>
      </c>
      <c r="F11" s="5"/>
      <c r="G11" s="5"/>
      <c r="H11" s="6"/>
    </row>
    <row r="12" spans="2:8" x14ac:dyDescent="0.35">
      <c r="B12" s="294" t="s">
        <v>26</v>
      </c>
      <c r="C12" s="47">
        <f>C9/C8</f>
        <v>0.24919785310983356</v>
      </c>
      <c r="D12" s="47">
        <f t="shared" ref="D12:E12" si="0">D9/D8</f>
        <v>0.2850770960341471</v>
      </c>
      <c r="E12" s="48">
        <f t="shared" si="0"/>
        <v>0.23300957722057408</v>
      </c>
      <c r="F12" s="5"/>
      <c r="G12" s="5"/>
      <c r="H12" s="5"/>
    </row>
    <row r="13" spans="2:8" x14ac:dyDescent="0.35">
      <c r="B13" s="295" t="s">
        <v>3</v>
      </c>
      <c r="C13" s="296">
        <f>C10/C8</f>
        <v>4.3096397130626962E-2</v>
      </c>
      <c r="D13" s="296">
        <f t="shared" ref="D13:E13" si="1">D10/D8</f>
        <v>5.1440009505616537E-2</v>
      </c>
      <c r="E13" s="268">
        <f t="shared" si="1"/>
        <v>1.2801235420815215E-2</v>
      </c>
      <c r="F13" s="5"/>
      <c r="G13" s="5"/>
      <c r="H13" s="5"/>
    </row>
    <row r="14" spans="2:8" x14ac:dyDescent="0.35">
      <c r="B14" s="297" t="s">
        <v>4</v>
      </c>
      <c r="C14" s="298">
        <f>C11/C8</f>
        <v>2.9599770920064317E-2</v>
      </c>
      <c r="D14" s="298">
        <f t="shared" ref="D14:E14" si="2">D11/D8</f>
        <v>3.7821385809211308E-2</v>
      </c>
      <c r="E14" s="299">
        <f t="shared" si="2"/>
        <v>6.8815106812424648E-3</v>
      </c>
      <c r="F14" s="11"/>
    </row>
    <row r="15" spans="2:8" x14ac:dyDescent="0.35">
      <c r="B15" s="300" t="s">
        <v>44</v>
      </c>
      <c r="C15" s="301">
        <v>260649</v>
      </c>
      <c r="D15" s="301">
        <v>55356</v>
      </c>
      <c r="E15" s="302">
        <v>52616</v>
      </c>
      <c r="F15" s="11"/>
    </row>
    <row r="16" spans="2:8" x14ac:dyDescent="0.35">
      <c r="B16" s="303" t="s">
        <v>27</v>
      </c>
      <c r="C16" s="80">
        <f>C11/C15</f>
        <v>7.7333885800444271E-2</v>
      </c>
      <c r="D16" s="80">
        <f t="shared" ref="D16:E16" si="3">D11/D15</f>
        <v>7.4752511019582343E-2</v>
      </c>
      <c r="E16" s="304">
        <f t="shared" si="3"/>
        <v>1.9309715675840049E-2</v>
      </c>
      <c r="F16" s="11"/>
    </row>
    <row r="17" spans="2:6" x14ac:dyDescent="0.35">
      <c r="B17" s="305" t="s">
        <v>45</v>
      </c>
      <c r="C17" s="306">
        <v>98123</v>
      </c>
      <c r="D17" s="306">
        <v>11327</v>
      </c>
      <c r="E17" s="307">
        <v>8285</v>
      </c>
      <c r="F17" s="11"/>
    </row>
    <row r="18" spans="2:6" x14ac:dyDescent="0.35">
      <c r="B18" s="303" t="s">
        <v>28</v>
      </c>
      <c r="C18" s="80">
        <f>C11/C17</f>
        <v>0.20542584307450854</v>
      </c>
      <c r="D18" s="80">
        <f t="shared" ref="D18:E18" si="4">D11/D17</f>
        <v>0.36532179747505961</v>
      </c>
      <c r="E18" s="304">
        <f t="shared" si="4"/>
        <v>0.12263126131563065</v>
      </c>
      <c r="F18" s="11"/>
    </row>
    <row r="19" spans="2:6" x14ac:dyDescent="0.35">
      <c r="B19" s="308"/>
      <c r="C19" s="309"/>
      <c r="D19" s="309"/>
      <c r="E19" s="310"/>
      <c r="F19" s="11"/>
    </row>
    <row r="20" spans="2:6" x14ac:dyDescent="0.35">
      <c r="B20" s="12" t="s">
        <v>47</v>
      </c>
    </row>
    <row r="22" spans="2:6" x14ac:dyDescent="0.35">
      <c r="B22" s="271" t="s">
        <v>48</v>
      </c>
      <c r="C22" s="272"/>
      <c r="D22" s="272"/>
      <c r="E22" s="273"/>
    </row>
    <row r="23" spans="2:6" x14ac:dyDescent="0.35">
      <c r="B23" s="93"/>
      <c r="C23" s="94"/>
      <c r="D23" s="94"/>
      <c r="E23" s="60"/>
    </row>
    <row r="24" spans="2:6" x14ac:dyDescent="0.35">
      <c r="B24" s="93"/>
      <c r="C24" s="94"/>
      <c r="D24" s="94"/>
      <c r="E24" s="60"/>
    </row>
    <row r="25" spans="2:6" x14ac:dyDescent="0.35">
      <c r="B25" s="93"/>
      <c r="C25" s="94"/>
      <c r="D25" s="94"/>
      <c r="E25" s="60"/>
    </row>
    <row r="26" spans="2:6" x14ac:dyDescent="0.35">
      <c r="B26" s="62"/>
      <c r="C26" s="63"/>
      <c r="D26" s="63"/>
      <c r="E26" s="61"/>
    </row>
  </sheetData>
  <mergeCells count="4">
    <mergeCell ref="B22:E22"/>
    <mergeCell ref="B2:E3"/>
    <mergeCell ref="B4:E5"/>
    <mergeCell ref="B7:E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E9534-F1E1-4B83-B1C7-E9084DBA25EC}">
  <sheetPr>
    <tabColor rgb="FF0070C0"/>
  </sheetPr>
  <dimension ref="B2:B48"/>
  <sheetViews>
    <sheetView showGridLines="0" workbookViewId="0">
      <selection activeCell="E8" sqref="E8"/>
    </sheetView>
  </sheetViews>
  <sheetFormatPr defaultRowHeight="14.5" x14ac:dyDescent="0.35"/>
  <cols>
    <col min="2" max="2" width="65.6328125" customWidth="1"/>
  </cols>
  <sheetData>
    <row r="2" spans="2:2" ht="21" x14ac:dyDescent="0.5">
      <c r="B2" s="14" t="s">
        <v>50</v>
      </c>
    </row>
    <row r="4" spans="2:2" x14ac:dyDescent="0.35">
      <c r="B4" s="15" t="s">
        <v>51</v>
      </c>
    </row>
    <row r="11" spans="2:2" x14ac:dyDescent="0.35">
      <c r="B11" s="15" t="s">
        <v>52</v>
      </c>
    </row>
    <row r="20" spans="2:2" x14ac:dyDescent="0.35">
      <c r="B20" s="15" t="s">
        <v>53</v>
      </c>
    </row>
    <row r="28" spans="2:2" x14ac:dyDescent="0.35">
      <c r="B28" s="15" t="s">
        <v>54</v>
      </c>
    </row>
    <row r="35" spans="2:2" x14ac:dyDescent="0.35">
      <c r="B35" s="15" t="s">
        <v>55</v>
      </c>
    </row>
    <row r="42" spans="2:2" x14ac:dyDescent="0.35">
      <c r="B42" s="15" t="s">
        <v>56</v>
      </c>
    </row>
    <row r="48" spans="2:2" x14ac:dyDescent="0.35">
      <c r="B48" s="15" t="s">
        <v>130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27F0F-924A-4679-BCB5-762F1FB18628}">
  <sheetPr>
    <tabColor rgb="FF0070C0"/>
    <pageSetUpPr autoPageBreaks="0"/>
  </sheetPr>
  <dimension ref="B2:M58"/>
  <sheetViews>
    <sheetView showGridLines="0" zoomScale="53" zoomScaleNormal="76" workbookViewId="0">
      <selection activeCell="Q27" sqref="Q27"/>
    </sheetView>
  </sheetViews>
  <sheetFormatPr defaultRowHeight="14.5" x14ac:dyDescent="0.35"/>
  <cols>
    <col min="2" max="2" width="17.26953125" bestFit="1" customWidth="1"/>
    <col min="3" max="3" width="18.453125" bestFit="1" customWidth="1"/>
    <col min="4" max="4" width="19.90625" bestFit="1" customWidth="1"/>
    <col min="5" max="5" width="10" bestFit="1" customWidth="1"/>
    <col min="6" max="6" width="15.6328125" customWidth="1"/>
    <col min="7" max="7" width="19.54296875" bestFit="1" customWidth="1"/>
    <col min="8" max="8" width="2.6328125" customWidth="1"/>
    <col min="9" max="9" width="22.7265625" customWidth="1"/>
    <col min="10" max="10" width="23.90625" customWidth="1"/>
    <col min="11" max="11" width="20.36328125" bestFit="1" customWidth="1"/>
    <col min="12" max="12" width="10.36328125" bestFit="1" customWidth="1"/>
  </cols>
  <sheetData>
    <row r="2" spans="2:13" x14ac:dyDescent="0.35">
      <c r="B2" s="64"/>
      <c r="C2" s="340"/>
      <c r="D2" s="340"/>
      <c r="E2" s="340"/>
      <c r="F2" s="340"/>
      <c r="G2" s="340"/>
      <c r="H2" s="340"/>
      <c r="I2" s="340"/>
      <c r="J2" s="340"/>
      <c r="K2" s="340"/>
      <c r="L2" s="341"/>
    </row>
    <row r="3" spans="2:13" x14ac:dyDescent="0.35">
      <c r="B3" s="93"/>
      <c r="C3" s="110"/>
      <c r="D3" s="110"/>
      <c r="E3" s="110"/>
      <c r="F3" s="110"/>
      <c r="G3" s="110"/>
      <c r="H3" s="110"/>
      <c r="I3" s="110"/>
      <c r="J3" s="110"/>
      <c r="K3" s="110"/>
      <c r="L3" s="130"/>
    </row>
    <row r="4" spans="2:13" x14ac:dyDescent="0.35">
      <c r="B4" s="93"/>
      <c r="C4" s="94"/>
      <c r="D4" s="94"/>
      <c r="E4" s="94"/>
      <c r="F4" s="94"/>
      <c r="G4" s="94"/>
      <c r="H4" s="94"/>
      <c r="I4" s="94"/>
      <c r="J4" s="94"/>
      <c r="K4" s="94"/>
      <c r="L4" s="60"/>
    </row>
    <row r="5" spans="2:13" x14ac:dyDescent="0.35">
      <c r="B5" s="342" t="s">
        <v>57</v>
      </c>
      <c r="C5" s="343"/>
      <c r="D5" s="343"/>
      <c r="E5" s="343"/>
      <c r="F5" s="343"/>
      <c r="G5" s="343"/>
      <c r="H5" s="343"/>
      <c r="I5" s="343"/>
      <c r="J5" s="63"/>
      <c r="K5" s="63"/>
      <c r="L5" s="61"/>
    </row>
    <row r="6" spans="2:13" x14ac:dyDescent="0.35">
      <c r="B6" s="203" t="s">
        <v>19</v>
      </c>
      <c r="C6" s="204" t="s">
        <v>2</v>
      </c>
      <c r="D6" s="204" t="s">
        <v>58</v>
      </c>
      <c r="E6" s="204" t="s">
        <v>4</v>
      </c>
      <c r="F6" s="204" t="s">
        <v>59</v>
      </c>
      <c r="G6" s="205" t="s">
        <v>60</v>
      </c>
      <c r="H6" s="117"/>
      <c r="I6" s="203" t="s">
        <v>123</v>
      </c>
      <c r="J6" s="204" t="s">
        <v>132</v>
      </c>
      <c r="K6" s="204" t="s">
        <v>126</v>
      </c>
      <c r="L6" s="205" t="s">
        <v>76</v>
      </c>
      <c r="M6" s="117"/>
    </row>
    <row r="7" spans="2:13" ht="23.5" x14ac:dyDescent="0.35">
      <c r="B7" s="344">
        <f>'Raw Data'!H8</f>
        <v>680985</v>
      </c>
      <c r="C7" s="345">
        <f>'Raw Data'!H12</f>
        <v>20157</v>
      </c>
      <c r="D7" s="346">
        <f>'Ratios &amp; Calculations'!H10</f>
        <v>4.3096397130626962E-2</v>
      </c>
      <c r="E7" s="346">
        <f>'Ratios &amp; Calculations'!H11</f>
        <v>2.9599770920064317E-2</v>
      </c>
      <c r="F7" s="346">
        <f>'Ratios &amp; Calculations'!H14</f>
        <v>0.3544938495561693</v>
      </c>
      <c r="G7" s="347">
        <f>'YoY Growth'!H8</f>
        <v>5.3821899422198172E-2</v>
      </c>
      <c r="H7" s="16"/>
      <c r="I7" s="355">
        <f>'Ratios &amp; Calculations'!C64</f>
        <v>43.78011684007695</v>
      </c>
      <c r="J7" s="357">
        <f>'Ratios &amp; Calculations'!C65</f>
        <v>114.75</v>
      </c>
      <c r="K7" s="346">
        <f>'Ratios &amp; Calculations'!C66</f>
        <v>-0.61847392731959094</v>
      </c>
      <c r="L7" s="347">
        <f>'Ratios &amp; Calculations'!C43</f>
        <v>6.7957617964082145E-2</v>
      </c>
      <c r="M7" s="118"/>
    </row>
    <row r="8" spans="2:13" ht="23.5" x14ac:dyDescent="0.35">
      <c r="B8" s="348"/>
      <c r="C8" s="349"/>
      <c r="D8" s="346"/>
      <c r="E8" s="346"/>
      <c r="F8" s="346"/>
      <c r="G8" s="347"/>
      <c r="H8" s="16"/>
      <c r="I8" s="355"/>
      <c r="J8" s="357"/>
      <c r="K8" s="346"/>
      <c r="L8" s="347"/>
      <c r="M8" s="118"/>
    </row>
    <row r="9" spans="2:13" ht="23.5" x14ac:dyDescent="0.35">
      <c r="B9" s="350"/>
      <c r="C9" s="351"/>
      <c r="D9" s="352"/>
      <c r="E9" s="352"/>
      <c r="F9" s="352"/>
      <c r="G9" s="353"/>
      <c r="H9" s="16"/>
      <c r="I9" s="356"/>
      <c r="J9" s="358"/>
      <c r="K9" s="352"/>
      <c r="L9" s="353"/>
      <c r="M9" s="118"/>
    </row>
    <row r="10" spans="2:13" x14ac:dyDescent="0.35">
      <c r="B10" s="64"/>
      <c r="C10" s="65"/>
      <c r="D10" s="65"/>
      <c r="E10" s="65"/>
      <c r="F10" s="65"/>
      <c r="G10" s="59"/>
      <c r="I10" s="64"/>
      <c r="J10" s="65"/>
      <c r="K10" s="65"/>
      <c r="L10" s="59"/>
    </row>
    <row r="11" spans="2:13" x14ac:dyDescent="0.35">
      <c r="B11" s="93"/>
      <c r="C11" s="94"/>
      <c r="D11" s="94"/>
      <c r="E11" s="94"/>
      <c r="F11" s="94"/>
      <c r="G11" s="60"/>
      <c r="I11" s="93"/>
      <c r="J11" s="94"/>
      <c r="K11" s="94"/>
      <c r="L11" s="60"/>
    </row>
    <row r="12" spans="2:13" x14ac:dyDescent="0.35">
      <c r="B12" s="93"/>
      <c r="C12" s="94"/>
      <c r="D12" s="94"/>
      <c r="E12" s="94"/>
      <c r="F12" s="94"/>
      <c r="G12" s="60"/>
      <c r="I12" s="93"/>
      <c r="J12" s="94"/>
      <c r="K12" s="94"/>
      <c r="L12" s="60"/>
    </row>
    <row r="13" spans="2:13" x14ac:dyDescent="0.35">
      <c r="B13" s="93"/>
      <c r="C13" s="94"/>
      <c r="D13" s="94"/>
      <c r="E13" s="94"/>
      <c r="F13" s="94"/>
      <c r="G13" s="60"/>
      <c r="I13" s="93"/>
      <c r="J13" s="94"/>
      <c r="K13" s="94"/>
      <c r="L13" s="60"/>
    </row>
    <row r="14" spans="2:13" x14ac:dyDescent="0.35">
      <c r="B14" s="93"/>
      <c r="C14" s="94"/>
      <c r="D14" s="94"/>
      <c r="E14" s="94"/>
      <c r="F14" s="94"/>
      <c r="G14" s="60"/>
      <c r="I14" s="93"/>
      <c r="J14" s="94"/>
      <c r="K14" s="94"/>
      <c r="L14" s="60"/>
    </row>
    <row r="15" spans="2:13" x14ac:dyDescent="0.35">
      <c r="B15" s="93"/>
      <c r="C15" s="94"/>
      <c r="D15" s="94"/>
      <c r="E15" s="94"/>
      <c r="F15" s="94"/>
      <c r="G15" s="60"/>
      <c r="I15" s="93"/>
      <c r="J15" s="94"/>
      <c r="K15" s="94"/>
      <c r="L15" s="60"/>
    </row>
    <row r="16" spans="2:13" x14ac:dyDescent="0.35">
      <c r="B16" s="93"/>
      <c r="C16" s="94"/>
      <c r="D16" s="94"/>
      <c r="E16" s="94"/>
      <c r="F16" s="94"/>
      <c r="G16" s="60"/>
      <c r="I16" s="93"/>
      <c r="J16" s="94"/>
      <c r="K16" s="94"/>
      <c r="L16" s="60"/>
    </row>
    <row r="17" spans="2:12" x14ac:dyDescent="0.35">
      <c r="B17" s="93"/>
      <c r="C17" s="94"/>
      <c r="D17" s="94"/>
      <c r="E17" s="94"/>
      <c r="F17" s="94"/>
      <c r="G17" s="60"/>
      <c r="I17" s="93"/>
      <c r="J17" s="94"/>
      <c r="K17" s="94"/>
      <c r="L17" s="60"/>
    </row>
    <row r="18" spans="2:12" x14ac:dyDescent="0.35">
      <c r="B18" s="93"/>
      <c r="C18" s="94"/>
      <c r="D18" s="94"/>
      <c r="E18" s="94"/>
      <c r="F18" s="94"/>
      <c r="G18" s="60"/>
      <c r="I18" s="93"/>
      <c r="J18" s="94"/>
      <c r="K18" s="94"/>
      <c r="L18" s="60"/>
    </row>
    <row r="19" spans="2:12" x14ac:dyDescent="0.35">
      <c r="B19" s="93"/>
      <c r="C19" s="94"/>
      <c r="D19" s="94"/>
      <c r="E19" s="94"/>
      <c r="F19" s="94"/>
      <c r="G19" s="60"/>
      <c r="I19" s="93"/>
      <c r="J19" s="94"/>
      <c r="K19" s="94"/>
      <c r="L19" s="60"/>
    </row>
    <row r="20" spans="2:12" x14ac:dyDescent="0.35">
      <c r="B20" s="93"/>
      <c r="C20" s="94"/>
      <c r="D20" s="94"/>
      <c r="E20" s="94"/>
      <c r="F20" s="94"/>
      <c r="G20" s="60"/>
      <c r="I20" s="93"/>
      <c r="J20" s="94"/>
      <c r="K20" s="94"/>
      <c r="L20" s="60"/>
    </row>
    <row r="21" spans="2:12" x14ac:dyDescent="0.35">
      <c r="B21" s="93"/>
      <c r="C21" s="94"/>
      <c r="D21" s="94"/>
      <c r="E21" s="94"/>
      <c r="F21" s="94"/>
      <c r="G21" s="60"/>
      <c r="I21" s="93"/>
      <c r="J21" s="94"/>
      <c r="K21" s="94"/>
      <c r="L21" s="60"/>
    </row>
    <row r="22" spans="2:12" x14ac:dyDescent="0.35">
      <c r="B22" s="93"/>
      <c r="C22" s="94"/>
      <c r="D22" s="94"/>
      <c r="E22" s="94"/>
      <c r="F22" s="94"/>
      <c r="G22" s="60"/>
      <c r="I22" s="93"/>
      <c r="J22" s="94"/>
      <c r="K22" s="94"/>
      <c r="L22" s="60"/>
    </row>
    <row r="23" spans="2:12" x14ac:dyDescent="0.35">
      <c r="B23" s="93"/>
      <c r="C23" s="94"/>
      <c r="D23" s="94"/>
      <c r="E23" s="94"/>
      <c r="F23" s="94"/>
      <c r="G23" s="60"/>
      <c r="I23" s="93"/>
      <c r="J23" s="94"/>
      <c r="K23" s="94"/>
      <c r="L23" s="60"/>
    </row>
    <row r="24" spans="2:12" x14ac:dyDescent="0.35">
      <c r="B24" s="93"/>
      <c r="C24" s="94"/>
      <c r="D24" s="94"/>
      <c r="E24" s="94"/>
      <c r="F24" s="94"/>
      <c r="G24" s="60"/>
      <c r="I24" s="93"/>
      <c r="J24" s="94"/>
      <c r="K24" s="94"/>
      <c r="L24" s="60"/>
    </row>
    <row r="25" spans="2:12" x14ac:dyDescent="0.35">
      <c r="B25" s="93"/>
      <c r="C25" s="94"/>
      <c r="D25" s="94"/>
      <c r="E25" s="94"/>
      <c r="F25" s="94"/>
      <c r="G25" s="60"/>
      <c r="I25" s="93"/>
      <c r="J25" s="94"/>
      <c r="K25" s="94"/>
      <c r="L25" s="60"/>
    </row>
    <row r="26" spans="2:12" x14ac:dyDescent="0.35">
      <c r="B26" s="93"/>
      <c r="C26" s="94"/>
      <c r="D26" s="94"/>
      <c r="E26" s="94"/>
      <c r="F26" s="94"/>
      <c r="G26" s="60"/>
      <c r="I26" s="93"/>
      <c r="J26" s="94"/>
      <c r="K26" s="94"/>
      <c r="L26" s="60"/>
    </row>
    <row r="27" spans="2:12" x14ac:dyDescent="0.35">
      <c r="B27" s="93"/>
      <c r="C27" s="94"/>
      <c r="D27" s="94"/>
      <c r="E27" s="94"/>
      <c r="F27" s="94"/>
      <c r="G27" s="60"/>
      <c r="I27" s="93"/>
      <c r="J27" s="94"/>
      <c r="K27" s="94"/>
      <c r="L27" s="60"/>
    </row>
    <row r="28" spans="2:12" x14ac:dyDescent="0.35">
      <c r="B28" s="93"/>
      <c r="C28" s="94"/>
      <c r="D28" s="94"/>
      <c r="E28" s="94"/>
      <c r="F28" s="94"/>
      <c r="G28" s="60"/>
      <c r="I28" s="93"/>
      <c r="J28" s="94"/>
      <c r="K28" s="94"/>
      <c r="L28" s="60"/>
    </row>
    <row r="29" spans="2:12" x14ac:dyDescent="0.35">
      <c r="B29" s="93"/>
      <c r="C29" s="94"/>
      <c r="D29" s="94"/>
      <c r="E29" s="94"/>
      <c r="F29" s="94"/>
      <c r="G29" s="60"/>
      <c r="I29" s="93"/>
      <c r="J29" s="94"/>
      <c r="K29" s="94"/>
      <c r="L29" s="60"/>
    </row>
    <row r="30" spans="2:12" x14ac:dyDescent="0.35">
      <c r="B30" s="93"/>
      <c r="C30" s="94"/>
      <c r="D30" s="94"/>
      <c r="E30" s="94"/>
      <c r="F30" s="94"/>
      <c r="G30" s="60"/>
      <c r="I30" s="93"/>
      <c r="J30" s="94"/>
      <c r="K30" s="94"/>
      <c r="L30" s="60"/>
    </row>
    <row r="31" spans="2:12" x14ac:dyDescent="0.35">
      <c r="B31" s="93"/>
      <c r="C31" s="94"/>
      <c r="D31" s="94"/>
      <c r="E31" s="94"/>
      <c r="F31" s="94"/>
      <c r="G31" s="60"/>
      <c r="I31" s="93"/>
      <c r="J31" s="94"/>
      <c r="K31" s="94"/>
      <c r="L31" s="60"/>
    </row>
    <row r="32" spans="2:12" x14ac:dyDescent="0.35">
      <c r="B32" s="93"/>
      <c r="C32" s="94"/>
      <c r="D32" s="94"/>
      <c r="E32" s="94"/>
      <c r="F32" s="94"/>
      <c r="G32" s="60"/>
      <c r="I32" s="93"/>
      <c r="J32" s="94"/>
      <c r="K32" s="94"/>
      <c r="L32" s="60"/>
    </row>
    <row r="33" spans="2:12" x14ac:dyDescent="0.35">
      <c r="B33" s="93"/>
      <c r="C33" s="94"/>
      <c r="D33" s="94"/>
      <c r="E33" s="94"/>
      <c r="F33" s="94"/>
      <c r="G33" s="60"/>
      <c r="I33" s="93"/>
      <c r="J33" s="94"/>
      <c r="K33" s="94"/>
      <c r="L33" s="60"/>
    </row>
    <row r="34" spans="2:12" x14ac:dyDescent="0.35">
      <c r="B34" s="93"/>
      <c r="C34" s="94"/>
      <c r="D34" s="94"/>
      <c r="E34" s="94"/>
      <c r="F34" s="94"/>
      <c r="G34" s="60"/>
      <c r="I34" s="93"/>
      <c r="J34" s="94"/>
      <c r="K34" s="94"/>
      <c r="L34" s="60"/>
    </row>
    <row r="35" spans="2:12" x14ac:dyDescent="0.35">
      <c r="B35" s="93"/>
      <c r="C35" s="94"/>
      <c r="D35" s="94"/>
      <c r="E35" s="94"/>
      <c r="F35" s="94"/>
      <c r="G35" s="60"/>
      <c r="I35" s="93"/>
      <c r="J35" s="94"/>
      <c r="K35" s="94"/>
      <c r="L35" s="60"/>
    </row>
    <row r="36" spans="2:12" x14ac:dyDescent="0.35">
      <c r="B36" s="93"/>
      <c r="C36" s="94"/>
      <c r="D36" s="94"/>
      <c r="E36" s="94"/>
      <c r="F36" s="94"/>
      <c r="G36" s="60"/>
      <c r="I36" s="93"/>
      <c r="J36" s="94"/>
      <c r="K36" s="94"/>
      <c r="L36" s="60"/>
    </row>
    <row r="37" spans="2:12" x14ac:dyDescent="0.35">
      <c r="B37" s="93"/>
      <c r="C37" s="94"/>
      <c r="D37" s="94"/>
      <c r="E37" s="94"/>
      <c r="F37" s="94"/>
      <c r="G37" s="60"/>
      <c r="I37" s="93"/>
      <c r="J37" s="94"/>
      <c r="K37" s="94"/>
      <c r="L37" s="60"/>
    </row>
    <row r="38" spans="2:12" x14ac:dyDescent="0.35">
      <c r="B38" s="93"/>
      <c r="C38" s="94"/>
      <c r="D38" s="94"/>
      <c r="E38" s="94"/>
      <c r="F38" s="94"/>
      <c r="G38" s="60"/>
      <c r="I38" s="93"/>
      <c r="J38" s="94"/>
      <c r="K38" s="94"/>
      <c r="L38" s="60"/>
    </row>
    <row r="39" spans="2:12" x14ac:dyDescent="0.35">
      <c r="B39" s="93"/>
      <c r="C39" s="94"/>
      <c r="D39" s="94"/>
      <c r="E39" s="94"/>
      <c r="F39" s="94"/>
      <c r="G39" s="60"/>
      <c r="I39" s="93"/>
      <c r="J39" s="94"/>
      <c r="K39" s="94"/>
      <c r="L39" s="60"/>
    </row>
    <row r="40" spans="2:12" x14ac:dyDescent="0.35">
      <c r="B40" s="62"/>
      <c r="C40" s="63"/>
      <c r="D40" s="63"/>
      <c r="E40" s="63"/>
      <c r="F40" s="63"/>
      <c r="G40" s="61"/>
      <c r="I40" s="62"/>
      <c r="J40" s="63"/>
      <c r="K40" s="63"/>
      <c r="L40" s="61"/>
    </row>
    <row r="43" spans="2:12" x14ac:dyDescent="0.35">
      <c r="B43" s="17" t="s">
        <v>61</v>
      </c>
      <c r="C43" s="18"/>
      <c r="D43" s="18"/>
      <c r="E43" s="18"/>
      <c r="F43" s="18"/>
      <c r="G43" s="18"/>
      <c r="H43" s="3"/>
    </row>
    <row r="46" spans="2:12" x14ac:dyDescent="0.35">
      <c r="B46" s="17" t="s">
        <v>131</v>
      </c>
      <c r="C46" s="17"/>
      <c r="D46" s="17"/>
      <c r="E46" s="17"/>
      <c r="F46" s="17"/>
      <c r="G46" s="17"/>
      <c r="H46" s="17"/>
      <c r="I46" s="17"/>
    </row>
    <row r="48" spans="2:12" x14ac:dyDescent="0.35">
      <c r="F48" s="26"/>
      <c r="G48" s="26"/>
      <c r="H48" s="26"/>
      <c r="I48" s="26"/>
      <c r="J48" s="26"/>
    </row>
    <row r="49" spans="2:10" x14ac:dyDescent="0.35">
      <c r="B49" s="117"/>
      <c r="C49" s="117"/>
      <c r="D49" s="117"/>
      <c r="E49" s="117"/>
      <c r="F49" s="117"/>
      <c r="G49" s="117"/>
      <c r="H49" s="117"/>
      <c r="I49" s="26"/>
      <c r="J49" s="26"/>
    </row>
    <row r="50" spans="2:10" ht="23.5" x14ac:dyDescent="0.35">
      <c r="B50" s="119"/>
      <c r="C50" s="119"/>
      <c r="D50" s="118"/>
      <c r="E50" s="118"/>
      <c r="F50" s="118"/>
      <c r="G50" s="118"/>
      <c r="H50" s="121"/>
      <c r="I50" s="26"/>
      <c r="J50" s="26"/>
    </row>
    <row r="51" spans="2:10" ht="23.5" x14ac:dyDescent="0.35">
      <c r="B51" s="120"/>
      <c r="C51" s="120"/>
      <c r="D51" s="118"/>
      <c r="E51" s="118"/>
      <c r="F51" s="118"/>
      <c r="G51" s="118"/>
      <c r="H51" s="121"/>
      <c r="I51" s="26"/>
      <c r="J51" s="26"/>
    </row>
    <row r="52" spans="2:10" ht="23.5" x14ac:dyDescent="0.35">
      <c r="B52" s="120"/>
      <c r="C52" s="120"/>
      <c r="D52" s="118"/>
      <c r="E52" s="118"/>
      <c r="F52" s="118"/>
      <c r="G52" s="118"/>
      <c r="H52" s="121"/>
      <c r="I52" s="26"/>
      <c r="J52" s="26"/>
    </row>
    <row r="53" spans="2:10" x14ac:dyDescent="0.35">
      <c r="B53" s="26"/>
      <c r="C53" s="26"/>
      <c r="D53" s="26"/>
      <c r="E53" s="26"/>
      <c r="F53" s="26"/>
      <c r="G53" s="26"/>
      <c r="H53" s="26"/>
      <c r="I53" s="26"/>
      <c r="J53" s="26"/>
    </row>
    <row r="54" spans="2:10" x14ac:dyDescent="0.35">
      <c r="B54" s="26"/>
      <c r="C54" s="26"/>
      <c r="D54" s="26"/>
      <c r="E54" s="26"/>
      <c r="F54" s="26"/>
      <c r="G54" s="26"/>
      <c r="H54" s="26"/>
      <c r="I54" s="26"/>
      <c r="J54" s="26"/>
    </row>
    <row r="55" spans="2:10" x14ac:dyDescent="0.35">
      <c r="B55" s="26"/>
      <c r="C55" s="26"/>
      <c r="D55" s="26"/>
      <c r="E55" s="26"/>
      <c r="F55" s="26"/>
      <c r="G55" s="26"/>
      <c r="H55" s="26"/>
      <c r="I55" s="26"/>
      <c r="J55" s="26"/>
    </row>
    <row r="56" spans="2:10" x14ac:dyDescent="0.35">
      <c r="B56" s="26"/>
      <c r="C56" s="26"/>
      <c r="D56" s="26"/>
      <c r="E56" s="26"/>
      <c r="F56" s="26"/>
      <c r="G56" s="26"/>
      <c r="H56" s="26"/>
    </row>
    <row r="57" spans="2:10" x14ac:dyDescent="0.35">
      <c r="B57" s="26"/>
      <c r="C57" s="26"/>
      <c r="D57" s="26"/>
      <c r="E57" s="26"/>
      <c r="F57" s="26"/>
      <c r="G57" s="26"/>
      <c r="H57" s="26"/>
    </row>
    <row r="58" spans="2:10" x14ac:dyDescent="0.35">
      <c r="B58" s="26"/>
      <c r="C58" s="26"/>
      <c r="D58" s="26"/>
      <c r="E58" s="26"/>
      <c r="F58" s="26"/>
      <c r="G58" s="26"/>
      <c r="H58" s="26"/>
    </row>
  </sheetData>
  <mergeCells count="21">
    <mergeCell ref="J7:J9"/>
    <mergeCell ref="K7:K9"/>
    <mergeCell ref="L7:L9"/>
    <mergeCell ref="M7:M9"/>
    <mergeCell ref="C2:L3"/>
    <mergeCell ref="B46:I46"/>
    <mergeCell ref="B50:B52"/>
    <mergeCell ref="C50:C52"/>
    <mergeCell ref="D50:D52"/>
    <mergeCell ref="E50:E52"/>
    <mergeCell ref="F50:F52"/>
    <mergeCell ref="G50:G52"/>
    <mergeCell ref="B43:G43"/>
    <mergeCell ref="B5:I5"/>
    <mergeCell ref="B7:B9"/>
    <mergeCell ref="C7:C9"/>
    <mergeCell ref="D7:D9"/>
    <mergeCell ref="E7:E9"/>
    <mergeCell ref="F7:F9"/>
    <mergeCell ref="G7:G9"/>
    <mergeCell ref="I7:I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Cover</vt:lpstr>
      <vt:lpstr>Raw Data</vt:lpstr>
      <vt:lpstr>Ratios &amp; Calculations</vt:lpstr>
      <vt:lpstr>Sensitivity Analysis</vt:lpstr>
      <vt:lpstr>YoY Growth</vt:lpstr>
      <vt:lpstr>Peer Comparisons</vt:lpstr>
      <vt:lpstr>Insight</vt:lpstr>
      <vt:lpstr>Dashboard</vt:lpstr>
      <vt:lpstr>Cover!Print_Area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Gracie Riner</dc:creator>
  <cp:lastModifiedBy>Gracie Riner</cp:lastModifiedBy>
  <cp:lastPrinted>2026-06-25T18:11:33Z</cp:lastPrinted>
  <dcterms:created xsi:type="dcterms:W3CDTF">2026-06-24T18:58:25Z</dcterms:created>
  <dcterms:modified xsi:type="dcterms:W3CDTF">2026-06-30T16:27:46Z</dcterms:modified>
</cp:coreProperties>
</file>